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oque" sheetId="1" state="visible" r:id="rId3"/>
    <sheet name="Resum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<sst xmlns="http://schemas.openxmlformats.org/spreadsheetml/2006/main" count="444" uniqueCount="330">
  <si>
    <t xml:space="preserve">CONTROLE DE ESTOQUE — ASSISTÊNCIA TÉCNICA DE INFORMÁTICA</t>
  </si>
  <si>
    <t xml:space="preserve">Atualizado em: 14/10/2026  |  Preencha apenas as células de dados (linhas 5 em diante). Colunas com fórmula são calculadas automaticamente.</t>
  </si>
  <si>
    <t xml:space="preserve">Legenda: células em amarelo = exemplo de preenchimento  •  coluna Status calculada automaticamente a partir da Qtd. em Estoque x Estoque Mínimo  •  cole o link direto da imagem (ex: Google Drive, Imgur, site do fabricante) na coluna 'Link da Imagem'</t>
  </si>
  <si>
    <t xml:space="preserve">Código</t>
  </si>
  <si>
    <t xml:space="preserve">Categoria</t>
  </si>
  <si>
    <t xml:space="preserve">Produto / Peça</t>
  </si>
  <si>
    <t xml:space="preserve">Marca</t>
  </si>
  <si>
    <t xml:space="preserve">Modelo / Especificação</t>
  </si>
  <si>
    <t xml:space="preserve">Descrição</t>
  </si>
  <si>
    <t xml:space="preserve">Unidade</t>
  </si>
  <si>
    <t xml:space="preserve">Qtd. em Estoque</t>
  </si>
  <si>
    <t xml:space="preserve">Estoque Mínimo</t>
  </si>
  <si>
    <t xml:space="preserve">Estoque Máximo</t>
  </si>
  <si>
    <t xml:space="preserve">Preço de Custo (R$)</t>
  </si>
  <si>
    <t xml:space="preserve">Preço de Venda (R$)</t>
  </si>
  <si>
    <t xml:space="preserve">Margem (%)</t>
  </si>
  <si>
    <t xml:space="preserve">Valor Total em Estoque (R$)</t>
  </si>
  <si>
    <t xml:space="preserve">Fornecedor</t>
  </si>
  <si>
    <t xml:space="preserve">Localização (Prateleira)</t>
  </si>
  <si>
    <t xml:space="preserve">Data de Entrada</t>
  </si>
  <si>
    <t xml:space="preserve">Status</t>
  </si>
  <si>
    <t xml:space="preserve">Link da Imagem do Produto</t>
  </si>
  <si>
    <t xml:space="preserve">Observações</t>
  </si>
  <si>
    <t xml:space="preserve">EST-001</t>
  </si>
  <si>
    <t xml:space="preserve">Armazenamento</t>
  </si>
  <si>
    <t xml:space="preserve">SSD 240GB SATA III</t>
  </si>
  <si>
    <t xml:space="preserve">Kingston</t>
  </si>
  <si>
    <t xml:space="preserve">A400 240GB</t>
  </si>
  <si>
    <t xml:space="preserve">SSD 2.5'' SATA III, leitura até 500MB/s</t>
  </si>
  <si>
    <t xml:space="preserve">UN</t>
  </si>
  <si>
    <t xml:space="preserve">Kabum Distribuidora</t>
  </si>
  <si>
    <t xml:space="preserve">A1-01</t>
  </si>
  <si>
    <t xml:space="preserve">03/09/2026</t>
  </si>
  <si>
    <t xml:space="preserve">https://exemplo.com/imagens/ssd-kingston-a400-240gb.jpg</t>
  </si>
  <si>
    <t xml:space="preserve">Produto de saída rápida</t>
  </si>
  <si>
    <t xml:space="preserve">EST-002</t>
  </si>
  <si>
    <t xml:space="preserve">SSD 480GB SATA III</t>
  </si>
  <si>
    <t xml:space="preserve">A400 480GB</t>
  </si>
  <si>
    <t xml:space="preserve">A1-02</t>
  </si>
  <si>
    <t xml:space="preserve">https://exemplo.com/imagens/ssd-kingston-a400-480gb.jpg</t>
  </si>
  <si>
    <t xml:space="preserve">EST-003</t>
  </si>
  <si>
    <t xml:space="preserve">SSD NVMe 500GB M.2</t>
  </si>
  <si>
    <t xml:space="preserve">WD</t>
  </si>
  <si>
    <t xml:space="preserve">Blue SN570</t>
  </si>
  <si>
    <t xml:space="preserve">SSD NVMe PCIe Gen3 x4, leitura até 3500MB/s</t>
  </si>
  <si>
    <t xml:space="preserve">Western Digital Brasil</t>
  </si>
  <si>
    <t xml:space="preserve">A1-05</t>
  </si>
  <si>
    <t xml:space="preserve">10/09/2026</t>
  </si>
  <si>
    <t xml:space="preserve">https://exemplo.com/imagens/ssd-wd-sn570-500gb.jpg</t>
  </si>
  <si>
    <t xml:space="preserve">EST-004</t>
  </si>
  <si>
    <t xml:space="preserve">HD 1TB SATA III</t>
  </si>
  <si>
    <t xml:space="preserve">Seagate</t>
  </si>
  <si>
    <t xml:space="preserve">Barracuda ST1000DM010</t>
  </si>
  <si>
    <t xml:space="preserve">HD interno 3.5'' 7200RPM 64MB cache</t>
  </si>
  <si>
    <t xml:space="preserve">Seagate Distribuidor BR</t>
  </si>
  <si>
    <t xml:space="preserve">A1-08</t>
  </si>
  <si>
    <t xml:space="preserve">28/08/2026</t>
  </si>
  <si>
    <t xml:space="preserve">https://exemplo.com/imagens/hd-seagate-barracuda-1tb.jpg</t>
  </si>
  <si>
    <t xml:space="preserve">EST-005</t>
  </si>
  <si>
    <t xml:space="preserve">HD 2TB SATA III</t>
  </si>
  <si>
    <t xml:space="preserve">Western Digital</t>
  </si>
  <si>
    <t xml:space="preserve">WD Blue WD20EZBX</t>
  </si>
  <si>
    <t xml:space="preserve">HD interno 3.5'' 7200RPM 256MB cache</t>
  </si>
  <si>
    <t xml:space="preserve">A1-09</t>
  </si>
  <si>
    <t xml:space="preserve">https://exemplo.com/imagens/hd-wd-blue-2tb.jpg</t>
  </si>
  <si>
    <t xml:space="preserve">EST-006</t>
  </si>
  <si>
    <t xml:space="preserve">Memória RAM</t>
  </si>
  <si>
    <t xml:space="preserve">Memória DDR4 8GB 2666MHz</t>
  </si>
  <si>
    <t xml:space="preserve">KVR26N19S8/8</t>
  </si>
  <si>
    <t xml:space="preserve">Pente de memória DDR4 Non-ECC</t>
  </si>
  <si>
    <t xml:space="preserve">A2-01</t>
  </si>
  <si>
    <t xml:space="preserve">05/09/2026</t>
  </si>
  <si>
    <t xml:space="preserve">https://exemplo.com/imagens/ram-kingston-ddr4-8gb.jpg</t>
  </si>
  <si>
    <t xml:space="preserve">EST-007</t>
  </si>
  <si>
    <t xml:space="preserve">Memória DDR4 16GB 3200MHz</t>
  </si>
  <si>
    <t xml:space="preserve">HyperX</t>
  </si>
  <si>
    <t xml:space="preserve">Fury HX432C16FB/16</t>
  </si>
  <si>
    <t xml:space="preserve">HyperX Brasil</t>
  </si>
  <si>
    <t xml:space="preserve">A2-02</t>
  </si>
  <si>
    <t xml:space="preserve">https://exemplo.com/imagens/ram-hyperx-fury-16gb.jpg</t>
  </si>
  <si>
    <t xml:space="preserve">EST-008</t>
  </si>
  <si>
    <t xml:space="preserve">Memória DDR3 4GB 1600MHz</t>
  </si>
  <si>
    <t xml:space="preserve">KVR16N11S8/4</t>
  </si>
  <si>
    <t xml:space="preserve">Pente de memória DDR3 Non-ECC — notebooks antigos</t>
  </si>
  <si>
    <t xml:space="preserve">A2-05</t>
  </si>
  <si>
    <t xml:space="preserve">15/08/2026</t>
  </si>
  <si>
    <t xml:space="preserve">https://exemplo.com/imagens/ram-kingston-ddr3-4gb.jpg</t>
  </si>
  <si>
    <t xml:space="preserve">Linha em baixa, estoque residual</t>
  </si>
  <si>
    <t xml:space="preserve">EST-009</t>
  </si>
  <si>
    <t xml:space="preserve">Memória Notebook DDR4 8GB SODIMM</t>
  </si>
  <si>
    <t xml:space="preserve">Crucial</t>
  </si>
  <si>
    <t xml:space="preserve">CT8G4SFS8266</t>
  </si>
  <si>
    <t xml:space="preserve">Pente SODIMM para notebooks</t>
  </si>
  <si>
    <t xml:space="preserve">Crucial Memory BR</t>
  </si>
  <si>
    <t xml:space="preserve">A2-08</t>
  </si>
  <si>
    <t xml:space="preserve">12/09/2026</t>
  </si>
  <si>
    <t xml:space="preserve">https://exemplo.com/imagens/ram-crucial-sodimm-8gb.jpg</t>
  </si>
  <si>
    <t xml:space="preserve">EST-010</t>
  </si>
  <si>
    <t xml:space="preserve">Fontes</t>
  </si>
  <si>
    <t xml:space="preserve">Fonte ATX 500W Real</t>
  </si>
  <si>
    <t xml:space="preserve">Corsair</t>
  </si>
  <si>
    <t xml:space="preserve">CV500</t>
  </si>
  <si>
    <t xml:space="preserve">Fonte ATX 80 Plus Bronze, 500W reais</t>
  </si>
  <si>
    <t xml:space="preserve">Corsair Brasil</t>
  </si>
  <si>
    <t xml:space="preserve">A3-01</t>
  </si>
  <si>
    <t xml:space="preserve">20/09/2026</t>
  </si>
  <si>
    <t xml:space="preserve">https://exemplo.com/imagens/fonte-corsair-cv500.jpg</t>
  </si>
  <si>
    <t xml:space="preserve">EST-011</t>
  </si>
  <si>
    <t xml:space="preserve">Fonte ATX 750W Real</t>
  </si>
  <si>
    <t xml:space="preserve">RM750x</t>
  </si>
  <si>
    <t xml:space="preserve">Fonte ATX 80 Plus Gold, modular, 750W reais</t>
  </si>
  <si>
    <t xml:space="preserve">A3-02</t>
  </si>
  <si>
    <t xml:space="preserve">https://exemplo.com/imagens/fonte-corsair-rm750x.jpg</t>
  </si>
  <si>
    <t xml:space="preserve">EST-012</t>
  </si>
  <si>
    <t xml:space="preserve">Carregador Notebook 65W Universal</t>
  </si>
  <si>
    <t xml:space="preserve">MultiLaser</t>
  </si>
  <si>
    <t xml:space="preserve">CB122</t>
  </si>
  <si>
    <t xml:space="preserve">Fonte universal com 8 plugues intercambiáveis</t>
  </si>
  <si>
    <t xml:space="preserve">MultiLaser Distribuição</t>
  </si>
  <si>
    <t xml:space="preserve">A3-05</t>
  </si>
  <si>
    <t xml:space="preserve">08/09/2026</t>
  </si>
  <si>
    <t xml:space="preserve">https://exemplo.com/imagens/carregador-multilaser-65w.jpg</t>
  </si>
  <si>
    <t xml:space="preserve">EST-013</t>
  </si>
  <si>
    <t xml:space="preserve">Bateria</t>
  </si>
  <si>
    <t xml:space="preserve">Bateria Notebook Dell Inspiron 15</t>
  </si>
  <si>
    <t xml:space="preserve">Dell</t>
  </si>
  <si>
    <t xml:space="preserve">Compatível 3451/3551 (11.1V 4400mAh)</t>
  </si>
  <si>
    <t xml:space="preserve">Bateria compatível, 6 células</t>
  </si>
  <si>
    <t xml:space="preserve">PeçasNote Distribuidora</t>
  </si>
  <si>
    <t xml:space="preserve">A4-01</t>
  </si>
  <si>
    <t xml:space="preserve">01/09/2026</t>
  </si>
  <si>
    <t xml:space="preserve">https://exemplo.com/imagens/bateria-dell-inspiron15.jpg</t>
  </si>
  <si>
    <t xml:space="preserve">EST-014</t>
  </si>
  <si>
    <t xml:space="preserve">Bateria Notebook Lenovo Ideapad 320</t>
  </si>
  <si>
    <t xml:space="preserve">Lenovo</t>
  </si>
  <si>
    <t xml:space="preserve">Compatível L16L6PB1 (7.5V 4050mAh)</t>
  </si>
  <si>
    <t xml:space="preserve">Bateria compatível, 2 células</t>
  </si>
  <si>
    <t xml:space="preserve">A4-02</t>
  </si>
  <si>
    <t xml:space="preserve">https://exemplo.com/imagens/bateria-lenovo-ideapad320.jpg</t>
  </si>
  <si>
    <t xml:space="preserve">EST-015</t>
  </si>
  <si>
    <t xml:space="preserve">Placa-mãe</t>
  </si>
  <si>
    <t xml:space="preserve">Placa-mãe LGA 1200 H510M</t>
  </si>
  <si>
    <t xml:space="preserve">ASUS</t>
  </si>
  <si>
    <t xml:space="preserve">PRIME H510M-E</t>
  </si>
  <si>
    <t xml:space="preserve">Placa-mãe mATX, DDR4, suporte Intel 10ª/11ª geração</t>
  </si>
  <si>
    <t xml:space="preserve">ASUS Brasil Distribuidor</t>
  </si>
  <si>
    <t xml:space="preserve">A5-01</t>
  </si>
  <si>
    <t xml:space="preserve">18/09/2026</t>
  </si>
  <si>
    <t xml:space="preserve">https://exemplo.com/imagens/placa-mae-asus-h510m.jpg</t>
  </si>
  <si>
    <t xml:space="preserve">Item de alto valor — conferir antes de vender</t>
  </si>
  <si>
    <t xml:space="preserve">EST-016</t>
  </si>
  <si>
    <t xml:space="preserve">Placa-mãe AM4 B450M</t>
  </si>
  <si>
    <t xml:space="preserve">Gigabyte</t>
  </si>
  <si>
    <t xml:space="preserve">B450M DS3H</t>
  </si>
  <si>
    <t xml:space="preserve">Placa-mãe mATX, DDR4, suporte AMD Ryzen</t>
  </si>
  <si>
    <t xml:space="preserve">Gigabyte Brasil Distribuidor</t>
  </si>
  <si>
    <t xml:space="preserve">A5-02</t>
  </si>
  <si>
    <t xml:space="preserve">https://exemplo.com/imagens/placa-mae-gigabyte-b450m.jpg</t>
  </si>
  <si>
    <t xml:space="preserve">EST-017</t>
  </si>
  <si>
    <t xml:space="preserve">Processador</t>
  </si>
  <si>
    <t xml:space="preserve">Processador Intel Core i3-10100F</t>
  </si>
  <si>
    <t xml:space="preserve">Intel</t>
  </si>
  <si>
    <t xml:space="preserve">i3-10100F 3.6GHz</t>
  </si>
  <si>
    <t xml:space="preserve">4 núcleos / 8 threads, sem vídeo integrado</t>
  </si>
  <si>
    <t xml:space="preserve">Intel Distribuidor BR</t>
  </si>
  <si>
    <t xml:space="preserve">A5-05</t>
  </si>
  <si>
    <t xml:space="preserve">22/09/2026</t>
  </si>
  <si>
    <t xml:space="preserve">https://exemplo.com/imagens/cpu-intel-i3-10100f.jpg</t>
  </si>
  <si>
    <t xml:space="preserve">EST-018</t>
  </si>
  <si>
    <t xml:space="preserve">Processador AMD Ryzen 5 5600</t>
  </si>
  <si>
    <t xml:space="preserve">AMD</t>
  </si>
  <si>
    <t xml:space="preserve">Ryzen 5 5600 3.5GHz</t>
  </si>
  <si>
    <t xml:space="preserve">6 núcleos / 12 threads</t>
  </si>
  <si>
    <t xml:space="preserve">AMD Distribuidor BR</t>
  </si>
  <si>
    <t xml:space="preserve">A5-06</t>
  </si>
  <si>
    <t xml:space="preserve">https://exemplo.com/imagens/cpu-amd-ryzen5-5600.jpg</t>
  </si>
  <si>
    <t xml:space="preserve">EST-019</t>
  </si>
  <si>
    <t xml:space="preserve">Refrigeração</t>
  </si>
  <si>
    <t xml:space="preserve">Cooler para Processador Gamer</t>
  </si>
  <si>
    <t xml:space="preserve">Cooler Master</t>
  </si>
  <si>
    <t xml:space="preserve">Hyper 212 Black Edition</t>
  </si>
  <si>
    <t xml:space="preserve">Cooler a ar com dissipador de calor duplo</t>
  </si>
  <si>
    <t xml:space="preserve">Cooler Master Brasil</t>
  </si>
  <si>
    <t xml:space="preserve">A6-01</t>
  </si>
  <si>
    <t xml:space="preserve">14/09/2026</t>
  </si>
  <si>
    <t xml:space="preserve">https://exemplo.com/imagens/cooler-master-hyper212.jpg</t>
  </si>
  <si>
    <t xml:space="preserve">EST-020</t>
  </si>
  <si>
    <t xml:space="preserve">Cooler Cooler Box Padrão (box)</t>
  </si>
  <si>
    <t xml:space="preserve">Intel/AMD</t>
  </si>
  <si>
    <t xml:space="preserve">Cooler Box Padrão</t>
  </si>
  <si>
    <t xml:space="preserve">Cooler original que acompanha o processador</t>
  </si>
  <si>
    <t xml:space="preserve">Estoque de reaproveitamento</t>
  </si>
  <si>
    <t xml:space="preserve">A6-03</t>
  </si>
  <si>
    <t xml:space="preserve">https://exemplo.com/imagens/cooler-box-padrao.jpg</t>
  </si>
  <si>
    <t xml:space="preserve">EST-021</t>
  </si>
  <si>
    <t xml:space="preserve">Pasta Térmica 4g</t>
  </si>
  <si>
    <t xml:space="preserve">Implastec</t>
  </si>
  <si>
    <t xml:space="preserve">MX-4 Compatível</t>
  </si>
  <si>
    <t xml:space="preserve">Pasta térmica de alta performance para CPU/GPU</t>
  </si>
  <si>
    <t xml:space="preserve">Implastec Distribuidora</t>
  </si>
  <si>
    <t xml:space="preserve">A6-05</t>
  </si>
  <si>
    <t xml:space="preserve">25/09/2026</t>
  </si>
  <si>
    <t xml:space="preserve">https://exemplo.com/imagens/pasta-termica-4g.jpg</t>
  </si>
  <si>
    <t xml:space="preserve">EST-022</t>
  </si>
  <si>
    <t xml:space="preserve">Periféricos</t>
  </si>
  <si>
    <t xml:space="preserve">Teclado USB ABNT2</t>
  </si>
  <si>
    <t xml:space="preserve">TC254</t>
  </si>
  <si>
    <t xml:space="preserve">Teclado padrão ABNT2 com fio, USB</t>
  </si>
  <si>
    <t xml:space="preserve">A7-01</t>
  </si>
  <si>
    <t xml:space="preserve">06/09/2026</t>
  </si>
  <si>
    <t xml:space="preserve">https://exemplo.com/imagens/teclado-multilaser-tc254.jpg</t>
  </si>
  <si>
    <t xml:space="preserve">EST-023</t>
  </si>
  <si>
    <t xml:space="preserve">Mouse Óptico USB</t>
  </si>
  <si>
    <t xml:space="preserve">Logitech</t>
  </si>
  <si>
    <t xml:space="preserve">B100</t>
  </si>
  <si>
    <t xml:space="preserve">Mouse óptico com fio, 800 DPI</t>
  </si>
  <si>
    <t xml:space="preserve">Logitech Brasil</t>
  </si>
  <si>
    <t xml:space="preserve">A7-02</t>
  </si>
  <si>
    <t xml:space="preserve">https://exemplo.com/imagens/mouse-logitech-b100.jpg</t>
  </si>
  <si>
    <t xml:space="preserve">EST-024</t>
  </si>
  <si>
    <t xml:space="preserve">Fonte de Notebook Universal 90W</t>
  </si>
  <si>
    <t xml:space="preserve">CB123</t>
  </si>
  <si>
    <t xml:space="preserve">Fonte chaveada universal com múltiplos plugues</t>
  </si>
  <si>
    <t xml:space="preserve">A7-05</t>
  </si>
  <si>
    <t xml:space="preserve">https://exemplo.com/imagens/fonte-notebook-90w.jpg</t>
  </si>
  <si>
    <t xml:space="preserve">EST-025</t>
  </si>
  <si>
    <t xml:space="preserve">Tela / Display</t>
  </si>
  <si>
    <t xml:space="preserve">Tela Notebook 15.6'' LED HD</t>
  </si>
  <si>
    <t xml:space="preserve">Genérica (AUO/BOE)</t>
  </si>
  <si>
    <t xml:space="preserve">15.6'' 1366x768 30 pinos</t>
  </si>
  <si>
    <t xml:space="preserve">Tela LED para notebooks diversos</t>
  </si>
  <si>
    <t xml:space="preserve">TelaNote Distribuidora</t>
  </si>
  <si>
    <t xml:space="preserve">A8-01</t>
  </si>
  <si>
    <t xml:space="preserve">19/09/2026</t>
  </si>
  <si>
    <t xml:space="preserve">https://exemplo.com/imagens/tela-notebook-156-hd.jpg</t>
  </si>
  <si>
    <t xml:space="preserve">Confirmar modelo compatível antes da venda</t>
  </si>
  <si>
    <t xml:space="preserve">EST-026</t>
  </si>
  <si>
    <t xml:space="preserve">Tela Notebook 14'' LED HD Slim</t>
  </si>
  <si>
    <t xml:space="preserve">14'' 1366x768 30 pinos Slim</t>
  </si>
  <si>
    <t xml:space="preserve">Tela LED slim para notebooks ultrafinos</t>
  </si>
  <si>
    <t xml:space="preserve">A8-02</t>
  </si>
  <si>
    <t xml:space="preserve">https://exemplo.com/imagens/tela-notebook-14-slim.jpg</t>
  </si>
  <si>
    <t xml:space="preserve">EST-027</t>
  </si>
  <si>
    <t xml:space="preserve">Cabos e Conectores</t>
  </si>
  <si>
    <t xml:space="preserve">Cabo SATA de Dados</t>
  </si>
  <si>
    <t xml:space="preserve">Genérico</t>
  </si>
  <si>
    <t xml:space="preserve">SATA III 50cm</t>
  </si>
  <si>
    <t xml:space="preserve">Cabo de dados SATA III para HD/SSD</t>
  </si>
  <si>
    <t xml:space="preserve">Estoque Avulso BR</t>
  </si>
  <si>
    <t xml:space="preserve">A9-01</t>
  </si>
  <si>
    <t xml:space="preserve">02/09/2026</t>
  </si>
  <si>
    <t xml:space="preserve">https://exemplo.com/imagens/cabo-sata-dados.jpg</t>
  </si>
  <si>
    <t xml:space="preserve">EST-028</t>
  </si>
  <si>
    <t xml:space="preserve">Cabo de Força PC (3 pinos)</t>
  </si>
  <si>
    <t xml:space="preserve">Padrão NBR 14136</t>
  </si>
  <si>
    <t xml:space="preserve">Cabo de alimentação para fonte ATX</t>
  </si>
  <si>
    <t xml:space="preserve">A9-02</t>
  </si>
  <si>
    <t xml:space="preserve">https://exemplo.com/imagens/cabo-forca-pc.jpg</t>
  </si>
  <si>
    <t xml:space="preserve">EST-029</t>
  </si>
  <si>
    <t xml:space="preserve">Cabo HDMI 1.8m</t>
  </si>
  <si>
    <t xml:space="preserve">HDMI 2.0 Full HD/4K</t>
  </si>
  <si>
    <t xml:space="preserve">Cabo de vídeo HDMI macho-macho</t>
  </si>
  <si>
    <t xml:space="preserve">A9-04</t>
  </si>
  <si>
    <t xml:space="preserve">https://exemplo.com/imagens/cabo-hdmi-18m.jpg</t>
  </si>
  <si>
    <t xml:space="preserve">EST-030</t>
  </si>
  <si>
    <t xml:space="preserve">Limpeza e Manutenção</t>
  </si>
  <si>
    <t xml:space="preserve">Ar Comprimido Spray 300ml</t>
  </si>
  <si>
    <t xml:space="preserve">Jato de Ar Seco</t>
  </si>
  <si>
    <t xml:space="preserve">Spray de ar comprimido para limpeza de componentes</t>
  </si>
  <si>
    <t xml:space="preserve">A10-01</t>
  </si>
  <si>
    <t xml:space="preserve">https://exemplo.com/imagens/ar-comprimido-spray.jpg</t>
  </si>
  <si>
    <t xml:space="preserve">EST-031</t>
  </si>
  <si>
    <t xml:space="preserve">Álcool Isopropílico 99% 100ml</t>
  </si>
  <si>
    <t xml:space="preserve">Isopropílico Eletrônico</t>
  </si>
  <si>
    <t xml:space="preserve">Álcool para limpeza de placas e contatos eletrônicos</t>
  </si>
  <si>
    <t xml:space="preserve">A10-02</t>
  </si>
  <si>
    <t xml:space="preserve">https://exemplo.com/imagens/alcool-isopropilico-100ml.jpg</t>
  </si>
  <si>
    <t xml:space="preserve">EST-032</t>
  </si>
  <si>
    <t xml:space="preserve">Ferramentas</t>
  </si>
  <si>
    <t xml:space="preserve">Kit Chaves de Precisão (32 peças)</t>
  </si>
  <si>
    <t xml:space="preserve">Vonder</t>
  </si>
  <si>
    <t xml:space="preserve">Kit Eletrônica 32pç</t>
  </si>
  <si>
    <t xml:space="preserve">Kit de chaves Phillips/fenda para manutenção eletrônica</t>
  </si>
  <si>
    <t xml:space="preserve">Vonder Ferramentas</t>
  </si>
  <si>
    <t xml:space="preserve">B1-01</t>
  </si>
  <si>
    <t xml:space="preserve">11/09/2026</t>
  </si>
  <si>
    <t xml:space="preserve">https://exemplo.com/imagens/kit-chaves-precisao.jpg</t>
  </si>
  <si>
    <t xml:space="preserve">Uso interno da oficina, controlar saída</t>
  </si>
  <si>
    <t xml:space="preserve">EST-033</t>
  </si>
  <si>
    <t xml:space="preserve">Pulseira Antiestática</t>
  </si>
  <si>
    <t xml:space="preserve">Antiestática com fio terra</t>
  </si>
  <si>
    <t xml:space="preserve">Pulseira de segurança para manuseio de componentes</t>
  </si>
  <si>
    <t xml:space="preserve">B1-02</t>
  </si>
  <si>
    <t xml:space="preserve">https://exemplo.com/imagens/pulseira-antiestatica.jpg</t>
  </si>
  <si>
    <t xml:space="preserve">Uso interno da oficina</t>
  </si>
  <si>
    <t xml:space="preserve">EST-034</t>
  </si>
  <si>
    <t xml:space="preserve">Pendrive 32GB USB 3.0</t>
  </si>
  <si>
    <t xml:space="preserve">SanDisk</t>
  </si>
  <si>
    <t xml:space="preserve">Ultra Flair 32GB</t>
  </si>
  <si>
    <t xml:space="preserve">Pendrive USB 3.0 alta velocidade</t>
  </si>
  <si>
    <t xml:space="preserve">SanDisk Brasil</t>
  </si>
  <si>
    <t xml:space="preserve">A1-11</t>
  </si>
  <si>
    <t xml:space="preserve">30/09/2026</t>
  </si>
  <si>
    <t xml:space="preserve">https://exemplo.com/imagens/pendrive-sandisk-32gb.jpg</t>
  </si>
  <si>
    <t xml:space="preserve">Reabastecer — abaixo do mínimo</t>
  </si>
  <si>
    <t xml:space="preserve">EST-035</t>
  </si>
  <si>
    <t xml:space="preserve">Rede</t>
  </si>
  <si>
    <t xml:space="preserve">Adaptador Wi-Fi USB AC600</t>
  </si>
  <si>
    <t xml:space="preserve">TP-Link</t>
  </si>
  <si>
    <t xml:space="preserve">Archer T2U Nano</t>
  </si>
  <si>
    <t xml:space="preserve">Adaptador de rede sem fio USB dual band</t>
  </si>
  <si>
    <t xml:space="preserve">TP-Link Brasil</t>
  </si>
  <si>
    <t xml:space="preserve">A11-01</t>
  </si>
  <si>
    <t xml:space="preserve">20/08/2026</t>
  </si>
  <si>
    <t xml:space="preserve">https://exemplo.com/imagens/adaptador-wifi-tplink.jpg</t>
  </si>
  <si>
    <t xml:space="preserve">Em falta — pedido de reposição enviado</t>
  </si>
  <si>
    <t xml:space="preserve">TOTAIS</t>
  </si>
  <si>
    <t xml:space="preserve">RESUMO DO ESTOQUE</t>
  </si>
  <si>
    <t xml:space="preserve">Todos os valores abaixo são calculados automaticamente a partir da aba 'Estoque'.</t>
  </si>
  <si>
    <t xml:space="preserve">Total de itens cadastrados</t>
  </si>
  <si>
    <t xml:space="preserve">Quantidade total em estoque (unidades)</t>
  </si>
  <si>
    <t xml:space="preserve">Valor total do estoque (custo) (R$)</t>
  </si>
  <si>
    <t xml:space="preserve">Valor total do estoque (venda) (R$)</t>
  </si>
  <si>
    <t xml:space="preserve">Itens com status OK</t>
  </si>
  <si>
    <t xml:space="preserve">Itens com estoque baixo</t>
  </si>
  <si>
    <t xml:space="preserve">Itens sem estoque</t>
  </si>
  <si>
    <t xml:space="preserve">Preço médio de venda (R$)</t>
  </si>
  <si>
    <t xml:space="preserve">Margem média (%)</t>
  </si>
  <si>
    <t xml:space="preserve">Itens por categoria</t>
  </si>
  <si>
    <t xml:space="preserve">Qtd. de itens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</si>
</sst>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General"/>
    <numFmt numFmtId="168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9C650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EB9C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34"/>
    <col collapsed="false" customWidth="true" hidden="false" outlineLevel="0" max="7" min="7" style="0" width="9"/>
    <col collapsed="false" customWidth="true" hidden="false" outlineLevel="0" max="10" min="8" style="0" width="12"/>
    <col collapsed="false" customWidth="true" hidden="false" outlineLevel="0" max="12" min="11" style="0" width="14"/>
    <col collapsed="false" customWidth="true" hidden="false" outlineLevel="0" max="13" min="13" style="0" width="11"/>
    <col collapsed="false" customWidth="true" hidden="false" outlineLevel="0" max="14" min="14" style="0" width="16"/>
    <col collapsed="false" customWidth="true" hidden="false" outlineLevel="0" max="15" min="15" style="0" width="20"/>
    <col collapsed="false" customWidth="true" hidden="false" outlineLevel="0" max="16" min="16" style="0" width="16"/>
    <col collapsed="false" customWidth="true" hidden="false" outlineLevel="0" max="18" min="17" style="0" width="13"/>
    <col collapsed="false" customWidth="true" hidden="false" outlineLevel="0" max="19" min="19" style="0" width="32"/>
    <col collapsed="false" customWidth="true" hidden="false" outlineLevel="0" max="20" min="20" style="0" width="2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</row>
    <row r="6" customFormat="false" ht="15" hidden="false" customHeight="false" outlineLevel="0" collapsed="false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28</v>
      </c>
      <c r="G6" s="5" t="s">
        <v>29</v>
      </c>
      <c r="H6" s="6" t="n">
        <v>18</v>
      </c>
      <c r="I6" s="6" t="n">
        <v>5</v>
      </c>
      <c r="J6" s="6" t="n">
        <v>30</v>
      </c>
      <c r="K6" s="7" t="n">
        <v>95</v>
      </c>
      <c r="L6" s="7" t="n">
        <v>169.9</v>
      </c>
      <c r="M6" s="8" t="n">
        <f aca="false">IFERROR((L6-K6)/K6,0)</f>
        <v>0.788421052631579</v>
      </c>
      <c r="N6" s="7" t="n">
        <f aca="false">H6*K6</f>
        <v>1710</v>
      </c>
      <c r="O6" s="5" t="s">
        <v>30</v>
      </c>
      <c r="P6" s="5" t="s">
        <v>31</v>
      </c>
      <c r="Q6" s="6" t="s">
        <v>32</v>
      </c>
      <c r="R6" s="9" t="str">
        <f aca="false">IF(H6&lt;=0,"SEM ESTOQUE",IF(H6&lt;=I6,"ESTOQUE BAIXO","OK"))</f>
        <v>OK</v>
      </c>
      <c r="S6" s="5" t="s">
        <v>33</v>
      </c>
      <c r="T6" s="5" t="s">
        <v>34</v>
      </c>
    </row>
    <row r="7" customFormat="false" ht="15" hidden="false" customHeight="false" outlineLevel="0" collapsed="false">
      <c r="A7" s="10" t="s">
        <v>35</v>
      </c>
      <c r="B7" s="10" t="s">
        <v>24</v>
      </c>
      <c r="C7" s="10" t="s">
        <v>36</v>
      </c>
      <c r="D7" s="10" t="s">
        <v>26</v>
      </c>
      <c r="E7" s="10" t="s">
        <v>37</v>
      </c>
      <c r="F7" s="10" t="s">
        <v>28</v>
      </c>
      <c r="G7" s="10" t="s">
        <v>29</v>
      </c>
      <c r="H7" s="11" t="n">
        <v>12</v>
      </c>
      <c r="I7" s="11" t="n">
        <v>4</v>
      </c>
      <c r="J7" s="11" t="n">
        <v>20</v>
      </c>
      <c r="K7" s="12" t="n">
        <v>149</v>
      </c>
      <c r="L7" s="12" t="n">
        <v>259.9</v>
      </c>
      <c r="M7" s="13" t="n">
        <f aca="false">IFERROR((L7-K7)/K7,0)</f>
        <v>0.744295302013423</v>
      </c>
      <c r="N7" s="12" t="n">
        <f aca="false">H7*K7</f>
        <v>1788</v>
      </c>
      <c r="O7" s="10" t="s">
        <v>30</v>
      </c>
      <c r="P7" s="10" t="s">
        <v>38</v>
      </c>
      <c r="Q7" s="11" t="s">
        <v>32</v>
      </c>
      <c r="R7" s="14" t="str">
        <f aca="false">IF(H7&lt;=0,"SEM ESTOQUE",IF(H7&lt;=I7,"ESTOQUE BAIXO","OK"))</f>
        <v>OK</v>
      </c>
      <c r="S7" s="10" t="s">
        <v>39</v>
      </c>
      <c r="T7" s="10"/>
    </row>
    <row r="8" customFormat="false" ht="15" hidden="false" customHeight="false" outlineLevel="0" collapsed="false">
      <c r="A8" s="10" t="s">
        <v>40</v>
      </c>
      <c r="B8" s="10" t="s">
        <v>24</v>
      </c>
      <c r="C8" s="10" t="s">
        <v>41</v>
      </c>
      <c r="D8" s="10" t="s">
        <v>42</v>
      </c>
      <c r="E8" s="10" t="s">
        <v>43</v>
      </c>
      <c r="F8" s="10" t="s">
        <v>44</v>
      </c>
      <c r="G8" s="10" t="s">
        <v>29</v>
      </c>
      <c r="H8" s="11" t="n">
        <v>9</v>
      </c>
      <c r="I8" s="11" t="n">
        <v>3</v>
      </c>
      <c r="J8" s="11" t="n">
        <v>15</v>
      </c>
      <c r="K8" s="12" t="n">
        <v>189</v>
      </c>
      <c r="L8" s="12" t="n">
        <v>329.9</v>
      </c>
      <c r="M8" s="13" t="n">
        <f aca="false">IFERROR((L8-K8)/K8,0)</f>
        <v>0.745502645502645</v>
      </c>
      <c r="N8" s="12" t="n">
        <f aca="false">H8*K8</f>
        <v>1701</v>
      </c>
      <c r="O8" s="10" t="s">
        <v>45</v>
      </c>
      <c r="P8" s="10" t="s">
        <v>46</v>
      </c>
      <c r="Q8" s="11" t="s">
        <v>47</v>
      </c>
      <c r="R8" s="14" t="str">
        <f aca="false">IF(H8&lt;=0,"SEM ESTOQUE",IF(H8&lt;=I8,"ESTOQUE BAIXO","OK"))</f>
        <v>OK</v>
      </c>
      <c r="S8" s="10" t="s">
        <v>48</v>
      </c>
      <c r="T8" s="10"/>
    </row>
    <row r="9" customFormat="false" ht="15" hidden="false" customHeight="false" outlineLevel="0" collapsed="false">
      <c r="A9" s="10" t="s">
        <v>49</v>
      </c>
      <c r="B9" s="10" t="s">
        <v>24</v>
      </c>
      <c r="C9" s="10" t="s">
        <v>50</v>
      </c>
      <c r="D9" s="10" t="s">
        <v>51</v>
      </c>
      <c r="E9" s="10" t="s">
        <v>52</v>
      </c>
      <c r="F9" s="10" t="s">
        <v>53</v>
      </c>
      <c r="G9" s="10" t="s">
        <v>29</v>
      </c>
      <c r="H9" s="11" t="n">
        <v>15</v>
      </c>
      <c r="I9" s="11" t="n">
        <v>5</v>
      </c>
      <c r="J9" s="11" t="n">
        <v>25</v>
      </c>
      <c r="K9" s="12" t="n">
        <v>179</v>
      </c>
      <c r="L9" s="12" t="n">
        <v>299.9</v>
      </c>
      <c r="M9" s="13" t="n">
        <f aca="false">IFERROR((L9-K9)/K9,0)</f>
        <v>0.675418994413408</v>
      </c>
      <c r="N9" s="12" t="n">
        <f aca="false">H9*K9</f>
        <v>2685</v>
      </c>
      <c r="O9" s="10" t="s">
        <v>54</v>
      </c>
      <c r="P9" s="10" t="s">
        <v>55</v>
      </c>
      <c r="Q9" s="11" t="s">
        <v>56</v>
      </c>
      <c r="R9" s="14" t="str">
        <f aca="false">IF(H9&lt;=0,"SEM ESTOQUE",IF(H9&lt;=I9,"ESTOQUE BAIXO","OK"))</f>
        <v>OK</v>
      </c>
      <c r="S9" s="10" t="s">
        <v>57</v>
      </c>
      <c r="T9" s="10"/>
    </row>
    <row r="10" customFormat="false" ht="15" hidden="false" customHeight="false" outlineLevel="0" collapsed="false">
      <c r="A10" s="10" t="s">
        <v>58</v>
      </c>
      <c r="B10" s="10" t="s">
        <v>24</v>
      </c>
      <c r="C10" s="10" t="s">
        <v>59</v>
      </c>
      <c r="D10" s="10" t="s">
        <v>60</v>
      </c>
      <c r="E10" s="10" t="s">
        <v>61</v>
      </c>
      <c r="F10" s="10" t="s">
        <v>62</v>
      </c>
      <c r="G10" s="10" t="s">
        <v>29</v>
      </c>
      <c r="H10" s="11" t="n">
        <v>7</v>
      </c>
      <c r="I10" s="11" t="n">
        <v>3</v>
      </c>
      <c r="J10" s="11" t="n">
        <v>15</v>
      </c>
      <c r="K10" s="12" t="n">
        <v>299</v>
      </c>
      <c r="L10" s="12" t="n">
        <v>459.9</v>
      </c>
      <c r="M10" s="13" t="n">
        <f aca="false">IFERROR((L10-K10)/K10,0)</f>
        <v>0.538127090301003</v>
      </c>
      <c r="N10" s="12" t="n">
        <f aca="false">H10*K10</f>
        <v>2093</v>
      </c>
      <c r="O10" s="10" t="s">
        <v>45</v>
      </c>
      <c r="P10" s="10" t="s">
        <v>63</v>
      </c>
      <c r="Q10" s="11" t="s">
        <v>56</v>
      </c>
      <c r="R10" s="14" t="str">
        <f aca="false">IF(H10&lt;=0,"SEM ESTOQUE",IF(H10&lt;=I10,"ESTOQUE BAIXO","OK"))</f>
        <v>OK</v>
      </c>
      <c r="S10" s="10" t="s">
        <v>64</v>
      </c>
      <c r="T10" s="10"/>
    </row>
    <row r="11" customFormat="false" ht="15" hidden="false" customHeight="false" outlineLevel="0" collapsed="false">
      <c r="A11" s="10" t="s">
        <v>65</v>
      </c>
      <c r="B11" s="10" t="s">
        <v>66</v>
      </c>
      <c r="C11" s="10" t="s">
        <v>67</v>
      </c>
      <c r="D11" s="10" t="s">
        <v>26</v>
      </c>
      <c r="E11" s="10" t="s">
        <v>68</v>
      </c>
      <c r="F11" s="10" t="s">
        <v>69</v>
      </c>
      <c r="G11" s="10" t="s">
        <v>29</v>
      </c>
      <c r="H11" s="11" t="n">
        <v>22</v>
      </c>
      <c r="I11" s="11" t="n">
        <v>6</v>
      </c>
      <c r="J11" s="11" t="n">
        <v>30</v>
      </c>
      <c r="K11" s="12" t="n">
        <v>99</v>
      </c>
      <c r="L11" s="12" t="n">
        <v>179.9</v>
      </c>
      <c r="M11" s="13" t="n">
        <f aca="false">IFERROR((L11-K11)/K11,0)</f>
        <v>0.817171717171717</v>
      </c>
      <c r="N11" s="12" t="n">
        <f aca="false">H11*K11</f>
        <v>2178</v>
      </c>
      <c r="O11" s="10" t="s">
        <v>30</v>
      </c>
      <c r="P11" s="10" t="s">
        <v>70</v>
      </c>
      <c r="Q11" s="11" t="s">
        <v>71</v>
      </c>
      <c r="R11" s="14" t="str">
        <f aca="false">IF(H11&lt;=0,"SEM ESTOQUE",IF(H11&lt;=I11,"ESTOQUE BAIXO","OK"))</f>
        <v>OK</v>
      </c>
      <c r="S11" s="10" t="s">
        <v>72</v>
      </c>
      <c r="T11" s="10"/>
    </row>
    <row r="12" customFormat="false" ht="15" hidden="false" customHeight="false" outlineLevel="0" collapsed="false">
      <c r="A12" s="10" t="s">
        <v>73</v>
      </c>
      <c r="B12" s="10" t="s">
        <v>66</v>
      </c>
      <c r="C12" s="10" t="s">
        <v>74</v>
      </c>
      <c r="D12" s="10" t="s">
        <v>75</v>
      </c>
      <c r="E12" s="10" t="s">
        <v>76</v>
      </c>
      <c r="F12" s="10" t="s">
        <v>69</v>
      </c>
      <c r="G12" s="10" t="s">
        <v>29</v>
      </c>
      <c r="H12" s="11" t="n">
        <v>14</v>
      </c>
      <c r="I12" s="11" t="n">
        <v>4</v>
      </c>
      <c r="J12" s="11" t="n">
        <v>20</v>
      </c>
      <c r="K12" s="12" t="n">
        <v>189</v>
      </c>
      <c r="L12" s="12" t="n">
        <v>329.9</v>
      </c>
      <c r="M12" s="13" t="n">
        <f aca="false">IFERROR((L12-K12)/K12,0)</f>
        <v>0.745502645502645</v>
      </c>
      <c r="N12" s="12" t="n">
        <f aca="false">H12*K12</f>
        <v>2646</v>
      </c>
      <c r="O12" s="10" t="s">
        <v>77</v>
      </c>
      <c r="P12" s="10" t="s">
        <v>78</v>
      </c>
      <c r="Q12" s="11" t="s">
        <v>71</v>
      </c>
      <c r="R12" s="14" t="str">
        <f aca="false">IF(H12&lt;=0,"SEM ESTOQUE",IF(H12&lt;=I12,"ESTOQUE BAIXO","OK"))</f>
        <v>OK</v>
      </c>
      <c r="S12" s="10" t="s">
        <v>79</v>
      </c>
      <c r="T12" s="10"/>
    </row>
    <row r="13" customFormat="false" ht="15" hidden="false" customHeight="false" outlineLevel="0" collapsed="false">
      <c r="A13" s="10" t="s">
        <v>80</v>
      </c>
      <c r="B13" s="10" t="s">
        <v>66</v>
      </c>
      <c r="C13" s="10" t="s">
        <v>81</v>
      </c>
      <c r="D13" s="10" t="s">
        <v>26</v>
      </c>
      <c r="E13" s="10" t="s">
        <v>82</v>
      </c>
      <c r="F13" s="10" t="s">
        <v>83</v>
      </c>
      <c r="G13" s="10" t="s">
        <v>29</v>
      </c>
      <c r="H13" s="11" t="n">
        <v>10</v>
      </c>
      <c r="I13" s="11" t="n">
        <v>3</v>
      </c>
      <c r="J13" s="11" t="n">
        <v>15</v>
      </c>
      <c r="K13" s="12" t="n">
        <v>69</v>
      </c>
      <c r="L13" s="12" t="n">
        <v>119.9</v>
      </c>
      <c r="M13" s="13" t="n">
        <f aca="false">IFERROR((L13-K13)/K13,0)</f>
        <v>0.73768115942029</v>
      </c>
      <c r="N13" s="12" t="n">
        <f aca="false">H13*K13</f>
        <v>690</v>
      </c>
      <c r="O13" s="10" t="s">
        <v>30</v>
      </c>
      <c r="P13" s="10" t="s">
        <v>84</v>
      </c>
      <c r="Q13" s="11" t="s">
        <v>85</v>
      </c>
      <c r="R13" s="14" t="str">
        <f aca="false">IF(H13&lt;=0,"SEM ESTOQUE",IF(H13&lt;=I13,"ESTOQUE BAIXO","OK"))</f>
        <v>OK</v>
      </c>
      <c r="S13" s="10" t="s">
        <v>86</v>
      </c>
      <c r="T13" s="10" t="s">
        <v>87</v>
      </c>
    </row>
    <row r="14" customFormat="false" ht="15" hidden="false" customHeight="false" outlineLevel="0" collapsed="false">
      <c r="A14" s="10" t="s">
        <v>88</v>
      </c>
      <c r="B14" s="10" t="s">
        <v>66</v>
      </c>
      <c r="C14" s="10" t="s">
        <v>89</v>
      </c>
      <c r="D14" s="10" t="s">
        <v>90</v>
      </c>
      <c r="E14" s="10" t="s">
        <v>91</v>
      </c>
      <c r="F14" s="10" t="s">
        <v>92</v>
      </c>
      <c r="G14" s="10" t="s">
        <v>29</v>
      </c>
      <c r="H14" s="11" t="n">
        <v>11</v>
      </c>
      <c r="I14" s="11" t="n">
        <v>4</v>
      </c>
      <c r="J14" s="11" t="n">
        <v>18</v>
      </c>
      <c r="K14" s="12" t="n">
        <v>109</v>
      </c>
      <c r="L14" s="12" t="n">
        <v>189.9</v>
      </c>
      <c r="M14" s="13" t="n">
        <f aca="false">IFERROR((L14-K14)/K14,0)</f>
        <v>0.742201834862385</v>
      </c>
      <c r="N14" s="12" t="n">
        <f aca="false">H14*K14</f>
        <v>1199</v>
      </c>
      <c r="O14" s="10" t="s">
        <v>93</v>
      </c>
      <c r="P14" s="10" t="s">
        <v>94</v>
      </c>
      <c r="Q14" s="11" t="s">
        <v>95</v>
      </c>
      <c r="R14" s="14" t="str">
        <f aca="false">IF(H14&lt;=0,"SEM ESTOQUE",IF(H14&lt;=I14,"ESTOQUE BAIXO","OK"))</f>
        <v>OK</v>
      </c>
      <c r="S14" s="10" t="s">
        <v>96</v>
      </c>
      <c r="T14" s="10"/>
    </row>
    <row r="15" customFormat="false" ht="15" hidden="false" customHeight="false" outlineLevel="0" collapsed="false">
      <c r="A15" s="10" t="s">
        <v>97</v>
      </c>
      <c r="B15" s="10" t="s">
        <v>98</v>
      </c>
      <c r="C15" s="10" t="s">
        <v>99</v>
      </c>
      <c r="D15" s="10" t="s">
        <v>100</v>
      </c>
      <c r="E15" s="10" t="s">
        <v>101</v>
      </c>
      <c r="F15" s="10" t="s">
        <v>102</v>
      </c>
      <c r="G15" s="10" t="s">
        <v>29</v>
      </c>
      <c r="H15" s="11" t="n">
        <v>8</v>
      </c>
      <c r="I15" s="11" t="n">
        <v>3</v>
      </c>
      <c r="J15" s="11" t="n">
        <v>12</v>
      </c>
      <c r="K15" s="12" t="n">
        <v>229</v>
      </c>
      <c r="L15" s="12" t="n">
        <v>379.9</v>
      </c>
      <c r="M15" s="13" t="n">
        <f aca="false">IFERROR((L15-K15)/K15,0)</f>
        <v>0.658951965065502</v>
      </c>
      <c r="N15" s="12" t="n">
        <f aca="false">H15*K15</f>
        <v>1832</v>
      </c>
      <c r="O15" s="10" t="s">
        <v>103</v>
      </c>
      <c r="P15" s="10" t="s">
        <v>104</v>
      </c>
      <c r="Q15" s="11" t="s">
        <v>105</v>
      </c>
      <c r="R15" s="14" t="str">
        <f aca="false">IF(H15&lt;=0,"SEM ESTOQUE",IF(H15&lt;=I15,"ESTOQUE BAIXO","OK"))</f>
        <v>OK</v>
      </c>
      <c r="S15" s="10" t="s">
        <v>106</v>
      </c>
      <c r="T15" s="10"/>
    </row>
    <row r="16" customFormat="false" ht="15" hidden="false" customHeight="false" outlineLevel="0" collapsed="false">
      <c r="A16" s="10" t="s">
        <v>107</v>
      </c>
      <c r="B16" s="10" t="s">
        <v>98</v>
      </c>
      <c r="C16" s="10" t="s">
        <v>108</v>
      </c>
      <c r="D16" s="10" t="s">
        <v>100</v>
      </c>
      <c r="E16" s="10" t="s">
        <v>109</v>
      </c>
      <c r="F16" s="10" t="s">
        <v>110</v>
      </c>
      <c r="G16" s="10" t="s">
        <v>29</v>
      </c>
      <c r="H16" s="11" t="n">
        <v>4</v>
      </c>
      <c r="I16" s="11" t="n">
        <v>2</v>
      </c>
      <c r="J16" s="11" t="n">
        <v>10</v>
      </c>
      <c r="K16" s="12" t="n">
        <v>549</v>
      </c>
      <c r="L16" s="12" t="n">
        <v>899.9</v>
      </c>
      <c r="M16" s="13" t="n">
        <f aca="false">IFERROR((L16-K16)/K16,0)</f>
        <v>0.639162112932605</v>
      </c>
      <c r="N16" s="12" t="n">
        <f aca="false">H16*K16</f>
        <v>2196</v>
      </c>
      <c r="O16" s="10" t="s">
        <v>103</v>
      </c>
      <c r="P16" s="10" t="s">
        <v>111</v>
      </c>
      <c r="Q16" s="11" t="s">
        <v>105</v>
      </c>
      <c r="R16" s="14" t="str">
        <f aca="false">IF(H16&lt;=0,"SEM ESTOQUE",IF(H16&lt;=I16,"ESTOQUE BAIXO","OK"))</f>
        <v>OK</v>
      </c>
      <c r="S16" s="10" t="s">
        <v>112</v>
      </c>
      <c r="T16" s="10"/>
    </row>
    <row r="17" customFormat="false" ht="15" hidden="false" customHeight="false" outlineLevel="0" collapsed="false">
      <c r="A17" s="10" t="s">
        <v>113</v>
      </c>
      <c r="B17" s="10" t="s">
        <v>98</v>
      </c>
      <c r="C17" s="10" t="s">
        <v>114</v>
      </c>
      <c r="D17" s="10" t="s">
        <v>115</v>
      </c>
      <c r="E17" s="10" t="s">
        <v>116</v>
      </c>
      <c r="F17" s="10" t="s">
        <v>117</v>
      </c>
      <c r="G17" s="10" t="s">
        <v>29</v>
      </c>
      <c r="H17" s="11" t="n">
        <v>16</v>
      </c>
      <c r="I17" s="11" t="n">
        <v>5</v>
      </c>
      <c r="J17" s="11" t="n">
        <v>25</v>
      </c>
      <c r="K17" s="12" t="n">
        <v>59</v>
      </c>
      <c r="L17" s="12" t="n">
        <v>99.9</v>
      </c>
      <c r="M17" s="13" t="n">
        <f aca="false">IFERROR((L17-K17)/K17,0)</f>
        <v>0.693220338983051</v>
      </c>
      <c r="N17" s="12" t="n">
        <f aca="false">H17*K17</f>
        <v>944</v>
      </c>
      <c r="O17" s="10" t="s">
        <v>118</v>
      </c>
      <c r="P17" s="10" t="s">
        <v>119</v>
      </c>
      <c r="Q17" s="11" t="s">
        <v>120</v>
      </c>
      <c r="R17" s="14" t="str">
        <f aca="false">IF(H17&lt;=0,"SEM ESTOQUE",IF(H17&lt;=I17,"ESTOQUE BAIXO","OK"))</f>
        <v>OK</v>
      </c>
      <c r="S17" s="10" t="s">
        <v>121</v>
      </c>
      <c r="T17" s="10"/>
    </row>
    <row r="18" customFormat="false" ht="15" hidden="false" customHeight="false" outlineLevel="0" collapsed="false">
      <c r="A18" s="10" t="s">
        <v>122</v>
      </c>
      <c r="B18" s="10" t="s">
        <v>123</v>
      </c>
      <c r="C18" s="10" t="s">
        <v>124</v>
      </c>
      <c r="D18" s="10" t="s">
        <v>125</v>
      </c>
      <c r="E18" s="10" t="s">
        <v>126</v>
      </c>
      <c r="F18" s="10" t="s">
        <v>127</v>
      </c>
      <c r="G18" s="10" t="s">
        <v>29</v>
      </c>
      <c r="H18" s="11" t="n">
        <v>6</v>
      </c>
      <c r="I18" s="11" t="n">
        <v>3</v>
      </c>
      <c r="J18" s="11" t="n">
        <v>12</v>
      </c>
      <c r="K18" s="12" t="n">
        <v>139</v>
      </c>
      <c r="L18" s="12" t="n">
        <v>249.9</v>
      </c>
      <c r="M18" s="13" t="n">
        <f aca="false">IFERROR((L18-K18)/K18,0)</f>
        <v>0.797841726618705</v>
      </c>
      <c r="N18" s="12" t="n">
        <f aca="false">H18*K18</f>
        <v>834</v>
      </c>
      <c r="O18" s="10" t="s">
        <v>128</v>
      </c>
      <c r="P18" s="10" t="s">
        <v>129</v>
      </c>
      <c r="Q18" s="11" t="s">
        <v>130</v>
      </c>
      <c r="R18" s="14" t="str">
        <f aca="false">IF(H18&lt;=0,"SEM ESTOQUE",IF(H18&lt;=I18,"ESTOQUE BAIXO","OK"))</f>
        <v>OK</v>
      </c>
      <c r="S18" s="10" t="s">
        <v>131</v>
      </c>
      <c r="T18" s="10"/>
    </row>
    <row r="19" customFormat="false" ht="15" hidden="false" customHeight="false" outlineLevel="0" collapsed="false">
      <c r="A19" s="10" t="s">
        <v>132</v>
      </c>
      <c r="B19" s="10" t="s">
        <v>123</v>
      </c>
      <c r="C19" s="10" t="s">
        <v>133</v>
      </c>
      <c r="D19" s="10" t="s">
        <v>134</v>
      </c>
      <c r="E19" s="10" t="s">
        <v>135</v>
      </c>
      <c r="F19" s="10" t="s">
        <v>136</v>
      </c>
      <c r="G19" s="10" t="s">
        <v>29</v>
      </c>
      <c r="H19" s="11" t="n">
        <v>5</v>
      </c>
      <c r="I19" s="11" t="n">
        <v>3</v>
      </c>
      <c r="J19" s="11" t="n">
        <v>12</v>
      </c>
      <c r="K19" s="12" t="n">
        <v>129</v>
      </c>
      <c r="L19" s="12" t="n">
        <v>229.9</v>
      </c>
      <c r="M19" s="13" t="n">
        <f aca="false">IFERROR((L19-K19)/K19,0)</f>
        <v>0.782170542635659</v>
      </c>
      <c r="N19" s="12" t="n">
        <f aca="false">H19*K19</f>
        <v>645</v>
      </c>
      <c r="O19" s="10" t="s">
        <v>128</v>
      </c>
      <c r="P19" s="10" t="s">
        <v>137</v>
      </c>
      <c r="Q19" s="11" t="s">
        <v>130</v>
      </c>
      <c r="R19" s="14" t="str">
        <f aca="false">IF(H19&lt;=0,"SEM ESTOQUE",IF(H19&lt;=I19,"ESTOQUE BAIXO","OK"))</f>
        <v>OK</v>
      </c>
      <c r="S19" s="10" t="s">
        <v>138</v>
      </c>
      <c r="T19" s="10"/>
    </row>
    <row r="20" customFormat="false" ht="15" hidden="false" customHeight="false" outlineLevel="0" collapsed="false">
      <c r="A20" s="10" t="s">
        <v>139</v>
      </c>
      <c r="B20" s="10" t="s">
        <v>140</v>
      </c>
      <c r="C20" s="10" t="s">
        <v>141</v>
      </c>
      <c r="D20" s="10" t="s">
        <v>142</v>
      </c>
      <c r="E20" s="10" t="s">
        <v>143</v>
      </c>
      <c r="F20" s="10" t="s">
        <v>144</v>
      </c>
      <c r="G20" s="10" t="s">
        <v>29</v>
      </c>
      <c r="H20" s="11" t="n">
        <v>3</v>
      </c>
      <c r="I20" s="11" t="n">
        <v>2</v>
      </c>
      <c r="J20" s="11" t="n">
        <v>8</v>
      </c>
      <c r="K20" s="12" t="n">
        <v>429</v>
      </c>
      <c r="L20" s="12" t="n">
        <v>699.9</v>
      </c>
      <c r="M20" s="13" t="n">
        <f aca="false">IFERROR((L20-K20)/K20,0)</f>
        <v>0.631468531468531</v>
      </c>
      <c r="N20" s="12" t="n">
        <f aca="false">H20*K20</f>
        <v>1287</v>
      </c>
      <c r="O20" s="10" t="s">
        <v>145</v>
      </c>
      <c r="P20" s="10" t="s">
        <v>146</v>
      </c>
      <c r="Q20" s="11" t="s">
        <v>147</v>
      </c>
      <c r="R20" s="14" t="str">
        <f aca="false">IF(H20&lt;=0,"SEM ESTOQUE",IF(H20&lt;=I20,"ESTOQUE BAIXO","OK"))</f>
        <v>OK</v>
      </c>
      <c r="S20" s="10" t="s">
        <v>148</v>
      </c>
      <c r="T20" s="10" t="s">
        <v>149</v>
      </c>
    </row>
    <row r="21" customFormat="false" ht="15" hidden="false" customHeight="false" outlineLevel="0" collapsed="false">
      <c r="A21" s="10" t="s">
        <v>150</v>
      </c>
      <c r="B21" s="10" t="s">
        <v>140</v>
      </c>
      <c r="C21" s="10" t="s">
        <v>151</v>
      </c>
      <c r="D21" s="10" t="s">
        <v>152</v>
      </c>
      <c r="E21" s="10" t="s">
        <v>153</v>
      </c>
      <c r="F21" s="10" t="s">
        <v>154</v>
      </c>
      <c r="G21" s="10" t="s">
        <v>29</v>
      </c>
      <c r="H21" s="11" t="n">
        <v>5</v>
      </c>
      <c r="I21" s="11" t="n">
        <v>2</v>
      </c>
      <c r="J21" s="11" t="n">
        <v>8</v>
      </c>
      <c r="K21" s="12" t="n">
        <v>459</v>
      </c>
      <c r="L21" s="12" t="n">
        <v>749.9</v>
      </c>
      <c r="M21" s="13" t="n">
        <f aca="false">IFERROR((L21-K21)/K21,0)</f>
        <v>0.633769063180828</v>
      </c>
      <c r="N21" s="12" t="n">
        <f aca="false">H21*K21</f>
        <v>2295</v>
      </c>
      <c r="O21" s="10" t="s">
        <v>155</v>
      </c>
      <c r="P21" s="10" t="s">
        <v>156</v>
      </c>
      <c r="Q21" s="11" t="s">
        <v>147</v>
      </c>
      <c r="R21" s="14" t="str">
        <f aca="false">IF(H21&lt;=0,"SEM ESTOQUE",IF(H21&lt;=I21,"ESTOQUE BAIXO","OK"))</f>
        <v>OK</v>
      </c>
      <c r="S21" s="10" t="s">
        <v>157</v>
      </c>
      <c r="T21" s="10"/>
    </row>
    <row r="22" customFormat="false" ht="15" hidden="false" customHeight="false" outlineLevel="0" collapsed="false">
      <c r="A22" s="10" t="s">
        <v>158</v>
      </c>
      <c r="B22" s="10" t="s">
        <v>159</v>
      </c>
      <c r="C22" s="10" t="s">
        <v>160</v>
      </c>
      <c r="D22" s="10" t="s">
        <v>161</v>
      </c>
      <c r="E22" s="10" t="s">
        <v>162</v>
      </c>
      <c r="F22" s="10" t="s">
        <v>163</v>
      </c>
      <c r="G22" s="10" t="s">
        <v>29</v>
      </c>
      <c r="H22" s="11" t="n">
        <v>4</v>
      </c>
      <c r="I22" s="11" t="n">
        <v>2</v>
      </c>
      <c r="J22" s="11" t="n">
        <v>10</v>
      </c>
      <c r="K22" s="12" t="n">
        <v>489</v>
      </c>
      <c r="L22" s="12" t="n">
        <v>799.9</v>
      </c>
      <c r="M22" s="13" t="n">
        <f aca="false">IFERROR((L22-K22)/K22,0)</f>
        <v>0.635787321063395</v>
      </c>
      <c r="N22" s="12" t="n">
        <f aca="false">H22*K22</f>
        <v>1956</v>
      </c>
      <c r="O22" s="10" t="s">
        <v>164</v>
      </c>
      <c r="P22" s="10" t="s">
        <v>165</v>
      </c>
      <c r="Q22" s="11" t="s">
        <v>166</v>
      </c>
      <c r="R22" s="14" t="str">
        <f aca="false">IF(H22&lt;=0,"SEM ESTOQUE",IF(H22&lt;=I22,"ESTOQUE BAIXO","OK"))</f>
        <v>OK</v>
      </c>
      <c r="S22" s="10" t="s">
        <v>167</v>
      </c>
      <c r="T22" s="10"/>
    </row>
    <row r="23" customFormat="false" ht="15" hidden="false" customHeight="false" outlineLevel="0" collapsed="false">
      <c r="A23" s="10" t="s">
        <v>168</v>
      </c>
      <c r="B23" s="10" t="s">
        <v>159</v>
      </c>
      <c r="C23" s="10" t="s">
        <v>169</v>
      </c>
      <c r="D23" s="10" t="s">
        <v>170</v>
      </c>
      <c r="E23" s="10" t="s">
        <v>171</v>
      </c>
      <c r="F23" s="10" t="s">
        <v>172</v>
      </c>
      <c r="G23" s="10" t="s">
        <v>29</v>
      </c>
      <c r="H23" s="11" t="n">
        <v>3</v>
      </c>
      <c r="I23" s="11" t="n">
        <v>2</v>
      </c>
      <c r="J23" s="11" t="n">
        <v>8</v>
      </c>
      <c r="K23" s="12" t="n">
        <v>799</v>
      </c>
      <c r="L23" s="12" t="n">
        <v>1249.9</v>
      </c>
      <c r="M23" s="13" t="n">
        <f aca="false">IFERROR((L23-K23)/K23,0)</f>
        <v>0.56433041301627</v>
      </c>
      <c r="N23" s="12" t="n">
        <f aca="false">H23*K23</f>
        <v>2397</v>
      </c>
      <c r="O23" s="10" t="s">
        <v>173</v>
      </c>
      <c r="P23" s="10" t="s">
        <v>174</v>
      </c>
      <c r="Q23" s="11" t="s">
        <v>166</v>
      </c>
      <c r="R23" s="14" t="str">
        <f aca="false">IF(H23&lt;=0,"SEM ESTOQUE",IF(H23&lt;=I23,"ESTOQUE BAIXO","OK"))</f>
        <v>OK</v>
      </c>
      <c r="S23" s="10" t="s">
        <v>175</v>
      </c>
      <c r="T23" s="10"/>
    </row>
    <row r="24" customFormat="false" ht="15" hidden="false" customHeight="false" outlineLevel="0" collapsed="false">
      <c r="A24" s="10" t="s">
        <v>176</v>
      </c>
      <c r="B24" s="10" t="s">
        <v>177</v>
      </c>
      <c r="C24" s="10" t="s">
        <v>178</v>
      </c>
      <c r="D24" s="10" t="s">
        <v>179</v>
      </c>
      <c r="E24" s="10" t="s">
        <v>180</v>
      </c>
      <c r="F24" s="10" t="s">
        <v>181</v>
      </c>
      <c r="G24" s="10" t="s">
        <v>29</v>
      </c>
      <c r="H24" s="11" t="n">
        <v>9</v>
      </c>
      <c r="I24" s="11" t="n">
        <v>3</v>
      </c>
      <c r="J24" s="11" t="n">
        <v>15</v>
      </c>
      <c r="K24" s="12" t="n">
        <v>139</v>
      </c>
      <c r="L24" s="12" t="n">
        <v>229.9</v>
      </c>
      <c r="M24" s="13" t="n">
        <f aca="false">IFERROR((L24-K24)/K24,0)</f>
        <v>0.653956834532374</v>
      </c>
      <c r="N24" s="12" t="n">
        <f aca="false">H24*K24</f>
        <v>1251</v>
      </c>
      <c r="O24" s="10" t="s">
        <v>182</v>
      </c>
      <c r="P24" s="10" t="s">
        <v>183</v>
      </c>
      <c r="Q24" s="11" t="s">
        <v>184</v>
      </c>
      <c r="R24" s="14" t="str">
        <f aca="false">IF(H24&lt;=0,"SEM ESTOQUE",IF(H24&lt;=I24,"ESTOQUE BAIXO","OK"))</f>
        <v>OK</v>
      </c>
      <c r="S24" s="10" t="s">
        <v>185</v>
      </c>
      <c r="T24" s="10"/>
    </row>
    <row r="25" customFormat="false" ht="15" hidden="false" customHeight="false" outlineLevel="0" collapsed="false">
      <c r="A25" s="10" t="s">
        <v>186</v>
      </c>
      <c r="B25" s="10" t="s">
        <v>177</v>
      </c>
      <c r="C25" s="10" t="s">
        <v>187</v>
      </c>
      <c r="D25" s="10" t="s">
        <v>188</v>
      </c>
      <c r="E25" s="10" t="s">
        <v>189</v>
      </c>
      <c r="F25" s="10" t="s">
        <v>190</v>
      </c>
      <c r="G25" s="10" t="s">
        <v>29</v>
      </c>
      <c r="H25" s="11" t="n">
        <v>20</v>
      </c>
      <c r="I25" s="11" t="n">
        <v>6</v>
      </c>
      <c r="J25" s="11" t="n">
        <v>30</v>
      </c>
      <c r="K25" s="12" t="n">
        <v>25</v>
      </c>
      <c r="L25" s="12" t="n">
        <v>49.9</v>
      </c>
      <c r="M25" s="13" t="n">
        <f aca="false">IFERROR((L25-K25)/K25,0)</f>
        <v>0.996</v>
      </c>
      <c r="N25" s="12" t="n">
        <f aca="false">H25*K25</f>
        <v>500</v>
      </c>
      <c r="O25" s="10" t="s">
        <v>191</v>
      </c>
      <c r="P25" s="10" t="s">
        <v>192</v>
      </c>
      <c r="Q25" s="11" t="s">
        <v>130</v>
      </c>
      <c r="R25" s="14" t="str">
        <f aca="false">IF(H25&lt;=0,"SEM ESTOQUE",IF(H25&lt;=I25,"ESTOQUE BAIXO","OK"))</f>
        <v>OK</v>
      </c>
      <c r="S25" s="10" t="s">
        <v>193</v>
      </c>
      <c r="T25" s="10"/>
    </row>
    <row r="26" customFormat="false" ht="15" hidden="false" customHeight="false" outlineLevel="0" collapsed="false">
      <c r="A26" s="10" t="s">
        <v>194</v>
      </c>
      <c r="B26" s="10" t="s">
        <v>177</v>
      </c>
      <c r="C26" s="10" t="s">
        <v>195</v>
      </c>
      <c r="D26" s="10" t="s">
        <v>196</v>
      </c>
      <c r="E26" s="10" t="s">
        <v>197</v>
      </c>
      <c r="F26" s="10" t="s">
        <v>198</v>
      </c>
      <c r="G26" s="10" t="s">
        <v>29</v>
      </c>
      <c r="H26" s="11" t="n">
        <v>30</v>
      </c>
      <c r="I26" s="11" t="n">
        <v>10</v>
      </c>
      <c r="J26" s="11" t="n">
        <v>50</v>
      </c>
      <c r="K26" s="12" t="n">
        <v>12</v>
      </c>
      <c r="L26" s="12" t="n">
        <v>24.9</v>
      </c>
      <c r="M26" s="13" t="n">
        <f aca="false">IFERROR((L26-K26)/K26,0)</f>
        <v>1.075</v>
      </c>
      <c r="N26" s="12" t="n">
        <f aca="false">H26*K26</f>
        <v>360</v>
      </c>
      <c r="O26" s="10" t="s">
        <v>199</v>
      </c>
      <c r="P26" s="10" t="s">
        <v>200</v>
      </c>
      <c r="Q26" s="11" t="s">
        <v>201</v>
      </c>
      <c r="R26" s="14" t="str">
        <f aca="false">IF(H26&lt;=0,"SEM ESTOQUE",IF(H26&lt;=I26,"ESTOQUE BAIXO","OK"))</f>
        <v>OK</v>
      </c>
      <c r="S26" s="10" t="s">
        <v>202</v>
      </c>
      <c r="T26" s="10"/>
    </row>
    <row r="27" customFormat="false" ht="15" hidden="false" customHeight="false" outlineLevel="0" collapsed="false">
      <c r="A27" s="10" t="s">
        <v>203</v>
      </c>
      <c r="B27" s="10" t="s">
        <v>204</v>
      </c>
      <c r="C27" s="10" t="s">
        <v>205</v>
      </c>
      <c r="D27" s="10" t="s">
        <v>115</v>
      </c>
      <c r="E27" s="10" t="s">
        <v>206</v>
      </c>
      <c r="F27" s="10" t="s">
        <v>207</v>
      </c>
      <c r="G27" s="10" t="s">
        <v>29</v>
      </c>
      <c r="H27" s="11" t="n">
        <v>17</v>
      </c>
      <c r="I27" s="11" t="n">
        <v>5</v>
      </c>
      <c r="J27" s="11" t="n">
        <v>25</v>
      </c>
      <c r="K27" s="12" t="n">
        <v>29</v>
      </c>
      <c r="L27" s="12" t="n">
        <v>59.9</v>
      </c>
      <c r="M27" s="13" t="n">
        <f aca="false">IFERROR((L27-K27)/K27,0)</f>
        <v>1.06551724137931</v>
      </c>
      <c r="N27" s="12" t="n">
        <f aca="false">H27*K27</f>
        <v>493</v>
      </c>
      <c r="O27" s="10" t="s">
        <v>118</v>
      </c>
      <c r="P27" s="10" t="s">
        <v>208</v>
      </c>
      <c r="Q27" s="11" t="s">
        <v>209</v>
      </c>
      <c r="R27" s="14" t="str">
        <f aca="false">IF(H27&lt;=0,"SEM ESTOQUE",IF(H27&lt;=I27,"ESTOQUE BAIXO","OK"))</f>
        <v>OK</v>
      </c>
      <c r="S27" s="10" t="s">
        <v>210</v>
      </c>
      <c r="T27" s="10"/>
    </row>
    <row r="28" customFormat="false" ht="15" hidden="false" customHeight="false" outlineLevel="0" collapsed="false">
      <c r="A28" s="10" t="s">
        <v>211</v>
      </c>
      <c r="B28" s="10" t="s">
        <v>204</v>
      </c>
      <c r="C28" s="10" t="s">
        <v>212</v>
      </c>
      <c r="D28" s="10" t="s">
        <v>213</v>
      </c>
      <c r="E28" s="10" t="s">
        <v>214</v>
      </c>
      <c r="F28" s="10" t="s">
        <v>215</v>
      </c>
      <c r="G28" s="10" t="s">
        <v>29</v>
      </c>
      <c r="H28" s="11" t="n">
        <v>25</v>
      </c>
      <c r="I28" s="11" t="n">
        <v>8</v>
      </c>
      <c r="J28" s="11" t="n">
        <v>35</v>
      </c>
      <c r="K28" s="12" t="n">
        <v>24</v>
      </c>
      <c r="L28" s="12" t="n">
        <v>49.9</v>
      </c>
      <c r="M28" s="13" t="n">
        <f aca="false">IFERROR((L28-K28)/K28,0)</f>
        <v>1.07916666666667</v>
      </c>
      <c r="N28" s="12" t="n">
        <f aca="false">H28*K28</f>
        <v>600</v>
      </c>
      <c r="O28" s="10" t="s">
        <v>216</v>
      </c>
      <c r="P28" s="10" t="s">
        <v>217</v>
      </c>
      <c r="Q28" s="11" t="s">
        <v>209</v>
      </c>
      <c r="R28" s="14" t="str">
        <f aca="false">IF(H28&lt;=0,"SEM ESTOQUE",IF(H28&lt;=I28,"ESTOQUE BAIXO","OK"))</f>
        <v>OK</v>
      </c>
      <c r="S28" s="10" t="s">
        <v>218</v>
      </c>
      <c r="T28" s="10"/>
    </row>
    <row r="29" customFormat="false" ht="15" hidden="false" customHeight="false" outlineLevel="0" collapsed="false">
      <c r="A29" s="10" t="s">
        <v>219</v>
      </c>
      <c r="B29" s="10" t="s">
        <v>204</v>
      </c>
      <c r="C29" s="10" t="s">
        <v>220</v>
      </c>
      <c r="D29" s="10" t="s">
        <v>115</v>
      </c>
      <c r="E29" s="10" t="s">
        <v>221</v>
      </c>
      <c r="F29" s="10" t="s">
        <v>222</v>
      </c>
      <c r="G29" s="10" t="s">
        <v>29</v>
      </c>
      <c r="H29" s="11" t="n">
        <v>10</v>
      </c>
      <c r="I29" s="11" t="n">
        <v>4</v>
      </c>
      <c r="J29" s="11" t="n">
        <v>18</v>
      </c>
      <c r="K29" s="12" t="n">
        <v>69</v>
      </c>
      <c r="L29" s="12" t="n">
        <v>119.9</v>
      </c>
      <c r="M29" s="13" t="n">
        <f aca="false">IFERROR((L29-K29)/K29,0)</f>
        <v>0.73768115942029</v>
      </c>
      <c r="N29" s="12" t="n">
        <f aca="false">H29*K29</f>
        <v>690</v>
      </c>
      <c r="O29" s="10" t="s">
        <v>118</v>
      </c>
      <c r="P29" s="10" t="s">
        <v>223</v>
      </c>
      <c r="Q29" s="11" t="s">
        <v>209</v>
      </c>
      <c r="R29" s="14" t="str">
        <f aca="false">IF(H29&lt;=0,"SEM ESTOQUE",IF(H29&lt;=I29,"ESTOQUE BAIXO","OK"))</f>
        <v>OK</v>
      </c>
      <c r="S29" s="10" t="s">
        <v>224</v>
      </c>
      <c r="T29" s="10"/>
    </row>
    <row r="30" customFormat="false" ht="15" hidden="false" customHeight="false" outlineLevel="0" collapsed="false">
      <c r="A30" s="10" t="s">
        <v>225</v>
      </c>
      <c r="B30" s="10" t="s">
        <v>226</v>
      </c>
      <c r="C30" s="10" t="s">
        <v>227</v>
      </c>
      <c r="D30" s="10" t="s">
        <v>228</v>
      </c>
      <c r="E30" s="10" t="s">
        <v>229</v>
      </c>
      <c r="F30" s="10" t="s">
        <v>230</v>
      </c>
      <c r="G30" s="10" t="s">
        <v>29</v>
      </c>
      <c r="H30" s="11" t="n">
        <v>4</v>
      </c>
      <c r="I30" s="11" t="n">
        <v>2</v>
      </c>
      <c r="J30" s="11" t="n">
        <v>10</v>
      </c>
      <c r="K30" s="12" t="n">
        <v>219</v>
      </c>
      <c r="L30" s="12" t="n">
        <v>379.9</v>
      </c>
      <c r="M30" s="13" t="n">
        <f aca="false">IFERROR((L30-K30)/K30,0)</f>
        <v>0.734703196347032</v>
      </c>
      <c r="N30" s="12" t="n">
        <f aca="false">H30*K30</f>
        <v>876</v>
      </c>
      <c r="O30" s="10" t="s">
        <v>231</v>
      </c>
      <c r="P30" s="10" t="s">
        <v>232</v>
      </c>
      <c r="Q30" s="11" t="s">
        <v>233</v>
      </c>
      <c r="R30" s="14" t="str">
        <f aca="false">IF(H30&lt;=0,"SEM ESTOQUE",IF(H30&lt;=I30,"ESTOQUE BAIXO","OK"))</f>
        <v>OK</v>
      </c>
      <c r="S30" s="10" t="s">
        <v>234</v>
      </c>
      <c r="T30" s="10" t="s">
        <v>235</v>
      </c>
    </row>
    <row r="31" customFormat="false" ht="15" hidden="false" customHeight="false" outlineLevel="0" collapsed="false">
      <c r="A31" s="10" t="s">
        <v>236</v>
      </c>
      <c r="B31" s="10" t="s">
        <v>226</v>
      </c>
      <c r="C31" s="10" t="s">
        <v>237</v>
      </c>
      <c r="D31" s="10" t="s">
        <v>228</v>
      </c>
      <c r="E31" s="10" t="s">
        <v>238</v>
      </c>
      <c r="F31" s="10" t="s">
        <v>239</v>
      </c>
      <c r="G31" s="10" t="s">
        <v>29</v>
      </c>
      <c r="H31" s="11" t="n">
        <v>3</v>
      </c>
      <c r="I31" s="11" t="n">
        <v>2</v>
      </c>
      <c r="J31" s="11" t="n">
        <v>8</v>
      </c>
      <c r="K31" s="12" t="n">
        <v>229</v>
      </c>
      <c r="L31" s="12" t="n">
        <v>399.9</v>
      </c>
      <c r="M31" s="13" t="n">
        <f aca="false">IFERROR((L31-K31)/K31,0)</f>
        <v>0.746288209606987</v>
      </c>
      <c r="N31" s="12" t="n">
        <f aca="false">H31*K31</f>
        <v>687</v>
      </c>
      <c r="O31" s="10" t="s">
        <v>231</v>
      </c>
      <c r="P31" s="10" t="s">
        <v>240</v>
      </c>
      <c r="Q31" s="11" t="s">
        <v>233</v>
      </c>
      <c r="R31" s="14" t="str">
        <f aca="false">IF(H31&lt;=0,"SEM ESTOQUE",IF(H31&lt;=I31,"ESTOQUE BAIXO","OK"))</f>
        <v>OK</v>
      </c>
      <c r="S31" s="10" t="s">
        <v>241</v>
      </c>
      <c r="T31" s="10"/>
    </row>
    <row r="32" customFormat="false" ht="15" hidden="false" customHeight="false" outlineLevel="0" collapsed="false">
      <c r="A32" s="10" t="s">
        <v>242</v>
      </c>
      <c r="B32" s="10" t="s">
        <v>243</v>
      </c>
      <c r="C32" s="10" t="s">
        <v>244</v>
      </c>
      <c r="D32" s="10" t="s">
        <v>245</v>
      </c>
      <c r="E32" s="10" t="s">
        <v>246</v>
      </c>
      <c r="F32" s="10" t="s">
        <v>247</v>
      </c>
      <c r="G32" s="10" t="s">
        <v>29</v>
      </c>
      <c r="H32" s="11" t="n">
        <v>40</v>
      </c>
      <c r="I32" s="11" t="n">
        <v>10</v>
      </c>
      <c r="J32" s="11" t="n">
        <v>60</v>
      </c>
      <c r="K32" s="12" t="n">
        <v>6</v>
      </c>
      <c r="L32" s="12" t="n">
        <v>14.9</v>
      </c>
      <c r="M32" s="13" t="n">
        <f aca="false">IFERROR((L32-K32)/K32,0)</f>
        <v>1.48333333333333</v>
      </c>
      <c r="N32" s="12" t="n">
        <f aca="false">H32*K32</f>
        <v>240</v>
      </c>
      <c r="O32" s="10" t="s">
        <v>248</v>
      </c>
      <c r="P32" s="10" t="s">
        <v>249</v>
      </c>
      <c r="Q32" s="11" t="s">
        <v>250</v>
      </c>
      <c r="R32" s="14" t="str">
        <f aca="false">IF(H32&lt;=0,"SEM ESTOQUE",IF(H32&lt;=I32,"ESTOQUE BAIXO","OK"))</f>
        <v>OK</v>
      </c>
      <c r="S32" s="10" t="s">
        <v>251</v>
      </c>
      <c r="T32" s="10"/>
    </row>
    <row r="33" customFormat="false" ht="15" hidden="false" customHeight="false" outlineLevel="0" collapsed="false">
      <c r="A33" s="10" t="s">
        <v>252</v>
      </c>
      <c r="B33" s="10" t="s">
        <v>243</v>
      </c>
      <c r="C33" s="10" t="s">
        <v>253</v>
      </c>
      <c r="D33" s="10" t="s">
        <v>245</v>
      </c>
      <c r="E33" s="10" t="s">
        <v>254</v>
      </c>
      <c r="F33" s="10" t="s">
        <v>255</v>
      </c>
      <c r="G33" s="10" t="s">
        <v>29</v>
      </c>
      <c r="H33" s="11" t="n">
        <v>35</v>
      </c>
      <c r="I33" s="11" t="n">
        <v>10</v>
      </c>
      <c r="J33" s="11" t="n">
        <v>50</v>
      </c>
      <c r="K33" s="12" t="n">
        <v>8</v>
      </c>
      <c r="L33" s="12" t="n">
        <v>17.9</v>
      </c>
      <c r="M33" s="13" t="n">
        <f aca="false">IFERROR((L33-K33)/K33,0)</f>
        <v>1.2375</v>
      </c>
      <c r="N33" s="12" t="n">
        <f aca="false">H33*K33</f>
        <v>280</v>
      </c>
      <c r="O33" s="10" t="s">
        <v>248</v>
      </c>
      <c r="P33" s="10" t="s">
        <v>256</v>
      </c>
      <c r="Q33" s="11" t="s">
        <v>250</v>
      </c>
      <c r="R33" s="14" t="str">
        <f aca="false">IF(H33&lt;=0,"SEM ESTOQUE",IF(H33&lt;=I33,"ESTOQUE BAIXO","OK"))</f>
        <v>OK</v>
      </c>
      <c r="S33" s="10" t="s">
        <v>257</v>
      </c>
      <c r="T33" s="10"/>
    </row>
    <row r="34" customFormat="false" ht="15" hidden="false" customHeight="false" outlineLevel="0" collapsed="false">
      <c r="A34" s="10" t="s">
        <v>258</v>
      </c>
      <c r="B34" s="10" t="s">
        <v>243</v>
      </c>
      <c r="C34" s="10" t="s">
        <v>259</v>
      </c>
      <c r="D34" s="10" t="s">
        <v>245</v>
      </c>
      <c r="E34" s="10" t="s">
        <v>260</v>
      </c>
      <c r="F34" s="10" t="s">
        <v>261</v>
      </c>
      <c r="G34" s="10" t="s">
        <v>29</v>
      </c>
      <c r="H34" s="11" t="n">
        <v>28</v>
      </c>
      <c r="I34" s="11" t="n">
        <v>8</v>
      </c>
      <c r="J34" s="11" t="n">
        <v>40</v>
      </c>
      <c r="K34" s="12" t="n">
        <v>14</v>
      </c>
      <c r="L34" s="12" t="n">
        <v>29.9</v>
      </c>
      <c r="M34" s="13" t="n">
        <f aca="false">IFERROR((L34-K34)/K34,0)</f>
        <v>1.13571428571429</v>
      </c>
      <c r="N34" s="12" t="n">
        <f aca="false">H34*K34</f>
        <v>392</v>
      </c>
      <c r="O34" s="10" t="s">
        <v>248</v>
      </c>
      <c r="P34" s="10" t="s">
        <v>262</v>
      </c>
      <c r="Q34" s="11" t="s">
        <v>250</v>
      </c>
      <c r="R34" s="14" t="str">
        <f aca="false">IF(H34&lt;=0,"SEM ESTOQUE",IF(H34&lt;=I34,"ESTOQUE BAIXO","OK"))</f>
        <v>OK</v>
      </c>
      <c r="S34" s="10" t="s">
        <v>263</v>
      </c>
      <c r="T34" s="10"/>
    </row>
    <row r="35" customFormat="false" ht="15" hidden="false" customHeight="false" outlineLevel="0" collapsed="false">
      <c r="A35" s="10" t="s">
        <v>264</v>
      </c>
      <c r="B35" s="10" t="s">
        <v>265</v>
      </c>
      <c r="C35" s="10" t="s">
        <v>266</v>
      </c>
      <c r="D35" s="10" t="s">
        <v>196</v>
      </c>
      <c r="E35" s="10" t="s">
        <v>267</v>
      </c>
      <c r="F35" s="10" t="s">
        <v>268</v>
      </c>
      <c r="G35" s="10" t="s">
        <v>29</v>
      </c>
      <c r="H35" s="11" t="n">
        <v>14</v>
      </c>
      <c r="I35" s="11" t="n">
        <v>5</v>
      </c>
      <c r="J35" s="11" t="n">
        <v>25</v>
      </c>
      <c r="K35" s="12" t="n">
        <v>22</v>
      </c>
      <c r="L35" s="12" t="n">
        <v>39.9</v>
      </c>
      <c r="M35" s="13" t="n">
        <f aca="false">IFERROR((L35-K35)/K35,0)</f>
        <v>0.813636363636364</v>
      </c>
      <c r="N35" s="12" t="n">
        <f aca="false">H35*K35</f>
        <v>308</v>
      </c>
      <c r="O35" s="10" t="s">
        <v>199</v>
      </c>
      <c r="P35" s="10" t="s">
        <v>269</v>
      </c>
      <c r="Q35" s="11" t="s">
        <v>201</v>
      </c>
      <c r="R35" s="14" t="str">
        <f aca="false">IF(H35&lt;=0,"SEM ESTOQUE",IF(H35&lt;=I35,"ESTOQUE BAIXO","OK"))</f>
        <v>OK</v>
      </c>
      <c r="S35" s="10" t="s">
        <v>270</v>
      </c>
      <c r="T35" s="10"/>
    </row>
    <row r="36" customFormat="false" ht="15" hidden="false" customHeight="false" outlineLevel="0" collapsed="false">
      <c r="A36" s="10" t="s">
        <v>271</v>
      </c>
      <c r="B36" s="10" t="s">
        <v>265</v>
      </c>
      <c r="C36" s="10" t="s">
        <v>272</v>
      </c>
      <c r="D36" s="10" t="s">
        <v>196</v>
      </c>
      <c r="E36" s="10" t="s">
        <v>273</v>
      </c>
      <c r="F36" s="10" t="s">
        <v>274</v>
      </c>
      <c r="G36" s="10" t="s">
        <v>29</v>
      </c>
      <c r="H36" s="11" t="n">
        <v>12</v>
      </c>
      <c r="I36" s="11" t="n">
        <v>4</v>
      </c>
      <c r="J36" s="11" t="n">
        <v>20</v>
      </c>
      <c r="K36" s="12" t="n">
        <v>18</v>
      </c>
      <c r="L36" s="12" t="n">
        <v>32.9</v>
      </c>
      <c r="M36" s="13" t="n">
        <f aca="false">IFERROR((L36-K36)/K36,0)</f>
        <v>0.827777777777778</v>
      </c>
      <c r="N36" s="12" t="n">
        <f aca="false">H36*K36</f>
        <v>216</v>
      </c>
      <c r="O36" s="10" t="s">
        <v>199</v>
      </c>
      <c r="P36" s="10" t="s">
        <v>275</v>
      </c>
      <c r="Q36" s="11" t="s">
        <v>201</v>
      </c>
      <c r="R36" s="14" t="str">
        <f aca="false">IF(H36&lt;=0,"SEM ESTOQUE",IF(H36&lt;=I36,"ESTOQUE BAIXO","OK"))</f>
        <v>OK</v>
      </c>
      <c r="S36" s="10" t="s">
        <v>276</v>
      </c>
      <c r="T36" s="10"/>
    </row>
    <row r="37" customFormat="false" ht="15" hidden="false" customHeight="false" outlineLevel="0" collapsed="false">
      <c r="A37" s="10" t="s">
        <v>277</v>
      </c>
      <c r="B37" s="10" t="s">
        <v>278</v>
      </c>
      <c r="C37" s="10" t="s">
        <v>279</v>
      </c>
      <c r="D37" s="10" t="s">
        <v>280</v>
      </c>
      <c r="E37" s="10" t="s">
        <v>281</v>
      </c>
      <c r="F37" s="10" t="s">
        <v>282</v>
      </c>
      <c r="G37" s="10" t="s">
        <v>29</v>
      </c>
      <c r="H37" s="11" t="n">
        <v>6</v>
      </c>
      <c r="I37" s="11" t="n">
        <v>2</v>
      </c>
      <c r="J37" s="11" t="n">
        <v>10</v>
      </c>
      <c r="K37" s="12" t="n">
        <v>45</v>
      </c>
      <c r="L37" s="12" t="n">
        <v>79.9</v>
      </c>
      <c r="M37" s="13" t="n">
        <f aca="false">IFERROR((L37-K37)/K37,0)</f>
        <v>0.775555555555556</v>
      </c>
      <c r="N37" s="12" t="n">
        <f aca="false">H37*K37</f>
        <v>270</v>
      </c>
      <c r="O37" s="10" t="s">
        <v>283</v>
      </c>
      <c r="P37" s="10" t="s">
        <v>284</v>
      </c>
      <c r="Q37" s="11" t="s">
        <v>285</v>
      </c>
      <c r="R37" s="14" t="str">
        <f aca="false">IF(H37&lt;=0,"SEM ESTOQUE",IF(H37&lt;=I37,"ESTOQUE BAIXO","OK"))</f>
        <v>OK</v>
      </c>
      <c r="S37" s="10" t="s">
        <v>286</v>
      </c>
      <c r="T37" s="10" t="s">
        <v>287</v>
      </c>
    </row>
    <row r="38" customFormat="false" ht="15" hidden="false" customHeight="false" outlineLevel="0" collapsed="false">
      <c r="A38" s="10" t="s">
        <v>288</v>
      </c>
      <c r="B38" s="10" t="s">
        <v>278</v>
      </c>
      <c r="C38" s="10" t="s">
        <v>289</v>
      </c>
      <c r="D38" s="10" t="s">
        <v>280</v>
      </c>
      <c r="E38" s="10" t="s">
        <v>290</v>
      </c>
      <c r="F38" s="10" t="s">
        <v>291</v>
      </c>
      <c r="G38" s="10" t="s">
        <v>29</v>
      </c>
      <c r="H38" s="11" t="n">
        <v>8</v>
      </c>
      <c r="I38" s="11" t="n">
        <v>2</v>
      </c>
      <c r="J38" s="11" t="n">
        <v>10</v>
      </c>
      <c r="K38" s="12" t="n">
        <v>19</v>
      </c>
      <c r="L38" s="12" t="n">
        <v>34.9</v>
      </c>
      <c r="M38" s="13" t="n">
        <f aca="false">IFERROR((L38-K38)/K38,0)</f>
        <v>0.836842105263158</v>
      </c>
      <c r="N38" s="12" t="n">
        <f aca="false">H38*K38</f>
        <v>152</v>
      </c>
      <c r="O38" s="10" t="s">
        <v>283</v>
      </c>
      <c r="P38" s="10" t="s">
        <v>292</v>
      </c>
      <c r="Q38" s="11" t="s">
        <v>285</v>
      </c>
      <c r="R38" s="14" t="str">
        <f aca="false">IF(H38&lt;=0,"SEM ESTOQUE",IF(H38&lt;=I38,"ESTOQUE BAIXO","OK"))</f>
        <v>OK</v>
      </c>
      <c r="S38" s="10" t="s">
        <v>293</v>
      </c>
      <c r="T38" s="10" t="s">
        <v>294</v>
      </c>
    </row>
    <row r="39" customFormat="false" ht="15" hidden="false" customHeight="false" outlineLevel="0" collapsed="false">
      <c r="A39" s="10" t="s">
        <v>295</v>
      </c>
      <c r="B39" s="10" t="s">
        <v>24</v>
      </c>
      <c r="C39" s="10" t="s">
        <v>296</v>
      </c>
      <c r="D39" s="10" t="s">
        <v>297</v>
      </c>
      <c r="E39" s="10" t="s">
        <v>298</v>
      </c>
      <c r="F39" s="10" t="s">
        <v>299</v>
      </c>
      <c r="G39" s="10" t="s">
        <v>29</v>
      </c>
      <c r="H39" s="11" t="n">
        <v>2</v>
      </c>
      <c r="I39" s="11" t="n">
        <v>5</v>
      </c>
      <c r="J39" s="11" t="n">
        <v>25</v>
      </c>
      <c r="K39" s="12" t="n">
        <v>29</v>
      </c>
      <c r="L39" s="12" t="n">
        <v>54.9</v>
      </c>
      <c r="M39" s="13" t="n">
        <f aca="false">IFERROR((L39-K39)/K39,0)</f>
        <v>0.893103448275862</v>
      </c>
      <c r="N39" s="12" t="n">
        <f aca="false">H39*K39</f>
        <v>58</v>
      </c>
      <c r="O39" s="10" t="s">
        <v>300</v>
      </c>
      <c r="P39" s="10" t="s">
        <v>301</v>
      </c>
      <c r="Q39" s="11" t="s">
        <v>302</v>
      </c>
      <c r="R39" s="15" t="str">
        <f aca="false">IF(H39&lt;=0,"SEM ESTOQUE",IF(H39&lt;=I39,"ESTOQUE BAIXO","OK"))</f>
        <v>ESTOQUE BAIXO</v>
      </c>
      <c r="S39" s="10" t="s">
        <v>303</v>
      </c>
      <c r="T39" s="10" t="s">
        <v>304</v>
      </c>
    </row>
    <row r="40" customFormat="false" ht="15" hidden="false" customHeight="false" outlineLevel="0" collapsed="false">
      <c r="A40" s="10" t="s">
        <v>305</v>
      </c>
      <c r="B40" s="10" t="s">
        <v>306</v>
      </c>
      <c r="C40" s="10" t="s">
        <v>307</v>
      </c>
      <c r="D40" s="10" t="s">
        <v>308</v>
      </c>
      <c r="E40" s="10" t="s">
        <v>309</v>
      </c>
      <c r="F40" s="10" t="s">
        <v>310</v>
      </c>
      <c r="G40" s="10" t="s">
        <v>29</v>
      </c>
      <c r="H40" s="11" t="n">
        <v>0</v>
      </c>
      <c r="I40" s="11" t="n">
        <v>3</v>
      </c>
      <c r="J40" s="11" t="n">
        <v>15</v>
      </c>
      <c r="K40" s="12" t="n">
        <v>49</v>
      </c>
      <c r="L40" s="12" t="n">
        <v>89.9</v>
      </c>
      <c r="M40" s="13" t="n">
        <f aca="false">IFERROR((L40-K40)/K40,0)</f>
        <v>0.834693877551021</v>
      </c>
      <c r="N40" s="12" t="n">
        <f aca="false">H40*K40</f>
        <v>0</v>
      </c>
      <c r="O40" s="10" t="s">
        <v>311</v>
      </c>
      <c r="P40" s="10" t="s">
        <v>312</v>
      </c>
      <c r="Q40" s="11" t="s">
        <v>313</v>
      </c>
      <c r="R40" s="16" t="str">
        <f aca="false">IF(H40&lt;=0,"SEM ESTOQUE",IF(H40&lt;=I40,"ESTOQUE BAIXO","OK"))</f>
        <v>SEM ESTOQUE</v>
      </c>
      <c r="S40" s="10" t="s">
        <v>314</v>
      </c>
      <c r="T40" s="10" t="s">
        <v>315</v>
      </c>
    </row>
    <row r="42" customFormat="false" ht="15" hidden="false" customHeight="false" outlineLevel="0" collapsed="false">
      <c r="C42" s="17" t="s">
        <v>316</v>
      </c>
      <c r="H42" s="18" t="n">
        <f aca="false">SUM(H6:H40)</f>
        <v>435</v>
      </c>
      <c r="N42" s="19" t="n">
        <f aca="false">SUM(N6:N40)</f>
        <v>38449</v>
      </c>
    </row>
  </sheetData>
  <mergeCells count="3">
    <mergeCell ref="A1:T1"/>
    <mergeCell ref="A2:T2"/>
    <mergeCell ref="A3:T3"/>
  </mergeCells>
  <dataValidations count="2">
    <dataValidation allowBlank="true" errorStyle="stop" operator="between" showDropDown="false" showErrorMessage="false" showInputMessage="false" sqref="B6:B500" type="list">
      <formula1>"Armazenamento,Memória RAM,Fontes,Bateria,Placa-mãe,Processador,Refrigeração,Periféricos,Tela / Display,Cabos e Conectores,Limpeza e Manutenção,Ferramentas,Rede,Outros"</formula1>
      <formula2>0</formula2>
    </dataValidation>
    <dataValidation allowBlank="true" errorStyle="stop" operator="between" showDropDown="false" showErrorMessage="false" showInputMessage="false" sqref="G6:G500" type="list">
      <formula1>"UN,PCT,CX,KIT"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</cols>
  <sheetData>
    <row r="1" customFormat="false" ht="24" hidden="false" customHeight="true" outlineLevel="0" collapsed="false">
      <c r="A1" s="20" t="s">
        <v>317</v>
      </c>
      <c r="B1" s="20"/>
      <c r="C1" s="20"/>
      <c r="D1" s="20"/>
    </row>
    <row r="2" customFormat="false" ht="15" hidden="false" customHeight="false" outlineLevel="0" collapsed="false">
      <c r="A2" s="2" t="s">
        <v>318</v>
      </c>
      <c r="B2" s="2"/>
      <c r="C2" s="2"/>
      <c r="D2" s="2"/>
    </row>
    <row r="4" customFormat="false" ht="15" hidden="false" customHeight="false" outlineLevel="0" collapsed="false">
      <c r="A4" s="17" t="s">
        <v>319</v>
      </c>
      <c r="B4" s="21" t="n">
        <f aca="false">COUNTA(Estoque!A6:A40)</f>
        <v>35</v>
      </c>
    </row>
    <row r="5" customFormat="false" ht="15" hidden="false" customHeight="false" outlineLevel="0" collapsed="false">
      <c r="A5" s="17" t="s">
        <v>320</v>
      </c>
      <c r="B5" s="21" t="n">
        <f aca="false">SUM(Estoque!H6:H40)</f>
        <v>435</v>
      </c>
    </row>
    <row r="6" customFormat="false" ht="15" hidden="false" customHeight="false" outlineLevel="0" collapsed="false">
      <c r="A6" s="17" t="s">
        <v>321</v>
      </c>
      <c r="B6" s="22" t="n">
        <f aca="false">SUM(Estoque!N6:N40)</f>
        <v>38449</v>
      </c>
    </row>
    <row r="7" customFormat="false" ht="15" hidden="false" customHeight="false" outlineLevel="0" collapsed="false">
      <c r="A7" s="17" t="s">
        <v>322</v>
      </c>
      <c r="B7" s="22" t="n">
        <f aca="false">SUMPRODUCT(Estoque!H6:H40,Estoque!L6:L40)</f>
        <v>66292.5</v>
      </c>
    </row>
    <row r="8" customFormat="false" ht="15" hidden="false" customHeight="false" outlineLevel="0" collapsed="false">
      <c r="A8" s="17" t="s">
        <v>323</v>
      </c>
      <c r="B8" s="21" t="n">
        <f aca="false">COUNTIF(Estoque!R6:R40,"OK")</f>
        <v>33</v>
      </c>
    </row>
    <row r="9" customFormat="false" ht="15" hidden="false" customHeight="false" outlineLevel="0" collapsed="false">
      <c r="A9" s="17" t="s">
        <v>324</v>
      </c>
      <c r="B9" s="21" t="n">
        <f aca="false">COUNTIF(Estoque!R6:R40,"ESTOQUE BAIXO")</f>
        <v>1</v>
      </c>
    </row>
    <row r="10" customFormat="false" ht="15" hidden="false" customHeight="false" outlineLevel="0" collapsed="false">
      <c r="A10" s="17" t="s">
        <v>325</v>
      </c>
      <c r="B10" s="21" t="n">
        <f aca="false">COUNTIF(Estoque!R6:R40,"SEM ESTOQUE")</f>
        <v>1</v>
      </c>
    </row>
    <row r="11" customFormat="false" ht="15" hidden="false" customHeight="false" outlineLevel="0" collapsed="false">
      <c r="A11" s="17" t="s">
        <v>326</v>
      </c>
      <c r="B11" s="22" t="n">
        <f aca="false">AVERAGE(Estoque!L6:L40)</f>
        <v>268.785714285714</v>
      </c>
    </row>
    <row r="12" customFormat="false" ht="15" hidden="false" customHeight="false" outlineLevel="0" collapsed="false">
      <c r="A12" s="17" t="s">
        <v>327</v>
      </c>
      <c r="B12" s="23" t="n">
        <f aca="false">AVERAGE(Estoque!M6:M40)</f>
        <v>0.814214128909819</v>
      </c>
    </row>
    <row r="14" customFormat="false" ht="15" hidden="false" customHeight="false" outlineLevel="0" collapsed="false">
      <c r="A14" s="24" t="s">
        <v>328</v>
      </c>
      <c r="B14" s="24"/>
      <c r="C14" s="24"/>
      <c r="D14" s="24"/>
    </row>
    <row r="15" customFormat="false" ht="15" hidden="false" customHeight="false" outlineLevel="0" collapsed="false">
      <c r="A15" s="25" t="s">
        <v>4</v>
      </c>
      <c r="B15" s="25" t="s">
        <v>329</v>
      </c>
    </row>
    <row r="16" customFormat="false" ht="15" hidden="false" customHeight="false" outlineLevel="0" collapsed="false">
      <c r="A16" s="10" t="s">
        <v>24</v>
      </c>
      <c r="B16" s="11" t="n">
        <f aca="false">COUNTIF(Estoque!B$6:B$40,A16)</f>
        <v>6</v>
      </c>
    </row>
    <row r="17" customFormat="false" ht="15" hidden="false" customHeight="false" outlineLevel="0" collapsed="false">
      <c r="A17" s="10" t="s">
        <v>123</v>
      </c>
      <c r="B17" s="11" t="n">
        <f aca="false">COUNTIF(Estoque!B$6:B$40,A17)</f>
        <v>2</v>
      </c>
    </row>
    <row r="18" customFormat="false" ht="15" hidden="false" customHeight="false" outlineLevel="0" collapsed="false">
      <c r="A18" s="10" t="s">
        <v>243</v>
      </c>
      <c r="B18" s="11" t="n">
        <f aca="false">COUNTIF(Estoque!B$6:B$40,A18)</f>
        <v>3</v>
      </c>
    </row>
    <row r="19" customFormat="false" ht="15" hidden="false" customHeight="false" outlineLevel="0" collapsed="false">
      <c r="A19" s="10" t="s">
        <v>278</v>
      </c>
      <c r="B19" s="11" t="n">
        <f aca="false">COUNTIF(Estoque!B$6:B$40,A19)</f>
        <v>2</v>
      </c>
    </row>
    <row r="20" customFormat="false" ht="15" hidden="false" customHeight="false" outlineLevel="0" collapsed="false">
      <c r="A20" s="10" t="s">
        <v>98</v>
      </c>
      <c r="B20" s="11" t="n">
        <f aca="false">COUNTIF(Estoque!B$6:B$40,A20)</f>
        <v>3</v>
      </c>
    </row>
    <row r="21" customFormat="false" ht="15" hidden="false" customHeight="false" outlineLevel="0" collapsed="false">
      <c r="A21" s="10" t="s">
        <v>265</v>
      </c>
      <c r="B21" s="11" t="n">
        <f aca="false">COUNTIF(Estoque!B$6:B$40,A21)</f>
        <v>2</v>
      </c>
    </row>
    <row r="22" customFormat="false" ht="15" hidden="false" customHeight="false" outlineLevel="0" collapsed="false">
      <c r="A22" s="10" t="s">
        <v>66</v>
      </c>
      <c r="B22" s="11" t="n">
        <f aca="false">COUNTIF(Estoque!B$6:B$40,A22)</f>
        <v>4</v>
      </c>
    </row>
    <row r="23" customFormat="false" ht="15" hidden="false" customHeight="false" outlineLevel="0" collapsed="false">
      <c r="A23" s="10" t="s">
        <v>204</v>
      </c>
      <c r="B23" s="11" t="n">
        <f aca="false">COUNTIF(Estoque!B$6:B$40,A23)</f>
        <v>3</v>
      </c>
    </row>
    <row r="24" customFormat="false" ht="15" hidden="false" customHeight="false" outlineLevel="0" collapsed="false">
      <c r="A24" s="10" t="s">
        <v>140</v>
      </c>
      <c r="B24" s="11" t="n">
        <f aca="false">COUNTIF(Estoque!B$6:B$40,A24)</f>
        <v>2</v>
      </c>
    </row>
    <row r="25" customFormat="false" ht="15" hidden="false" customHeight="false" outlineLevel="0" collapsed="false">
      <c r="A25" s="10" t="s">
        <v>159</v>
      </c>
      <c r="B25" s="11" t="n">
        <f aca="false">COUNTIF(Estoque!B$6:B$40,A25)</f>
        <v>2</v>
      </c>
    </row>
    <row r="26" customFormat="false" ht="15" hidden="false" customHeight="false" outlineLevel="0" collapsed="false">
      <c r="A26" s="10" t="s">
        <v>306</v>
      </c>
      <c r="B26" s="11" t="n">
        <f aca="false">COUNTIF(Estoque!B$6:B$40,A26)</f>
        <v>1</v>
      </c>
    </row>
    <row r="27" customFormat="false" ht="15" hidden="false" customHeight="false" outlineLevel="0" collapsed="false">
      <c r="A27" s="10" t="s">
        <v>177</v>
      </c>
      <c r="B27" s="11" t="n">
        <f aca="false">COUNTIF(Estoque!B$6:B$40,A27)</f>
        <v>3</v>
      </c>
    </row>
    <row r="28" customFormat="false" ht="15" hidden="false" customHeight="false" outlineLevel="0" collapsed="false">
      <c r="A28" s="10" t="s">
        <v>226</v>
      </c>
      <c r="B28" s="11" t="n">
        <f aca="false">COUNTIF(Estoque!B$6:B$40,A28)</f>
        <v>2</v>
      </c>
    </row>
  </sheetData>
  <mergeCells count="3">
    <mergeCell ref="A1:D1"/>
    <mergeCell ref="A2:D2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2026-10-14T11:11:31Z</dcterms:created>
  <dc:creator>openpyxl</dc:creator>
  <dc:description/>
  <dc:language>en-US</dc:language>
  <cp:lastModifiedBy/>
  <dcterms:modified xsi:type="dcterms:W3CDTF">2026-10-14T11:11:31Z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